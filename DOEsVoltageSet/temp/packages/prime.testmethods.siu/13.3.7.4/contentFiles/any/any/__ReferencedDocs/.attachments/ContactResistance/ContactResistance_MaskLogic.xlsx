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khai_jie_teoh_intel_com/Documents/MPE_TMM/"/>
    </mc:Choice>
  </mc:AlternateContent>
  <xr:revisionPtr revIDLastSave="140" documentId="8_{E2F98396-D899-43CA-9EC6-E36D89B4B800}" xr6:coauthVersionLast="47" xr6:coauthVersionMax="47" xr10:uidLastSave="{036089D3-CB35-4228-AA55-DE05B93B7668}"/>
  <bookViews>
    <workbookView xWindow="-120" yWindow="-120" windowWidth="38640" windowHeight="20925" activeTab="2" xr2:uid="{D0774D0B-6C31-4CAB-A320-924E760E6554}"/>
  </bookViews>
  <sheets>
    <sheet name="regression test case" sheetId="1" r:id="rId1"/>
    <sheet name="wiki documentation" sheetId="4" r:id="rId2"/>
    <sheet name="All Mask set False" sheetId="5" r:id="rId3"/>
    <sheet name="All Mask set True" sheetId="7" r:id="rId4"/>
    <sheet name="someMaskSetTrueAndFalse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8" l="1"/>
  <c r="O4" i="8" s="1"/>
  <c r="O15" i="8" s="1"/>
  <c r="O5" i="8"/>
  <c r="O6" i="8"/>
  <c r="O7" i="8"/>
  <c r="O8" i="8"/>
  <c r="O9" i="8"/>
  <c r="O10" i="8"/>
  <c r="O11" i="8"/>
  <c r="O12" i="8"/>
  <c r="O3" i="8"/>
  <c r="O4" i="7"/>
  <c r="O5" i="7"/>
  <c r="O6" i="7"/>
  <c r="O7" i="7"/>
  <c r="O8" i="7"/>
  <c r="O9" i="7"/>
  <c r="O15" i="7" s="1"/>
  <c r="O10" i="7"/>
  <c r="O11" i="7"/>
  <c r="O12" i="7"/>
  <c r="O3" i="7"/>
  <c r="O4" i="5"/>
  <c r="O5" i="5"/>
  <c r="O6" i="5"/>
  <c r="O7" i="5"/>
  <c r="O8" i="5"/>
  <c r="O9" i="5"/>
  <c r="O10" i="5"/>
  <c r="O11" i="5"/>
  <c r="O12" i="5"/>
  <c r="O3" i="5"/>
  <c r="L4" i="7"/>
  <c r="M4" i="5"/>
  <c r="M5" i="5"/>
  <c r="M6" i="5"/>
  <c r="M7" i="5"/>
  <c r="M8" i="5"/>
  <c r="M9" i="5"/>
  <c r="M10" i="5"/>
  <c r="M11" i="5"/>
  <c r="M12" i="5"/>
  <c r="L4" i="5"/>
  <c r="L5" i="5"/>
  <c r="L6" i="5"/>
  <c r="L7" i="5"/>
  <c r="L8" i="5"/>
  <c r="L9" i="5"/>
  <c r="L10" i="5"/>
  <c r="L11" i="5"/>
  <c r="L12" i="5"/>
  <c r="K4" i="5"/>
  <c r="K5" i="5"/>
  <c r="K6" i="5"/>
  <c r="K7" i="5"/>
  <c r="K8" i="5"/>
  <c r="K9" i="5"/>
  <c r="K10" i="5"/>
  <c r="K11" i="5"/>
  <c r="K12" i="5"/>
  <c r="M3" i="5"/>
  <c r="L3" i="5"/>
  <c r="K3" i="5"/>
  <c r="M4" i="7"/>
  <c r="M5" i="7"/>
  <c r="M6" i="7"/>
  <c r="M7" i="7"/>
  <c r="M8" i="7"/>
  <c r="M9" i="7"/>
  <c r="M10" i="7"/>
  <c r="M11" i="7"/>
  <c r="M12" i="7"/>
  <c r="L5" i="7"/>
  <c r="L6" i="7"/>
  <c r="L7" i="7"/>
  <c r="L8" i="7"/>
  <c r="L23" i="7" s="1"/>
  <c r="L9" i="7"/>
  <c r="L10" i="7"/>
  <c r="L11" i="7"/>
  <c r="L12" i="7"/>
  <c r="K4" i="7"/>
  <c r="K5" i="7"/>
  <c r="K6" i="7"/>
  <c r="K7" i="7"/>
  <c r="K8" i="7"/>
  <c r="K9" i="7"/>
  <c r="K10" i="7"/>
  <c r="K11" i="7"/>
  <c r="K12" i="7"/>
  <c r="M3" i="7"/>
  <c r="L3" i="7"/>
  <c r="K3" i="7"/>
  <c r="M4" i="8"/>
  <c r="M5" i="8"/>
  <c r="M6" i="8"/>
  <c r="M7" i="8"/>
  <c r="M8" i="8"/>
  <c r="M9" i="8"/>
  <c r="M10" i="8"/>
  <c r="M11" i="8"/>
  <c r="M12" i="8"/>
  <c r="L4" i="8"/>
  <c r="L5" i="8"/>
  <c r="L6" i="8"/>
  <c r="L7" i="8"/>
  <c r="L8" i="8"/>
  <c r="L9" i="8"/>
  <c r="L10" i="8"/>
  <c r="L11" i="8"/>
  <c r="L12" i="8"/>
  <c r="K5" i="8"/>
  <c r="K6" i="8"/>
  <c r="K7" i="8"/>
  <c r="K8" i="8"/>
  <c r="K9" i="8"/>
  <c r="K10" i="8"/>
  <c r="K11" i="8"/>
  <c r="K12" i="8"/>
  <c r="L23" i="8"/>
  <c r="L21" i="8"/>
  <c r="K22" i="7"/>
  <c r="K20" i="7"/>
  <c r="L23" i="5"/>
  <c r="K22" i="5"/>
  <c r="L21" i="5"/>
  <c r="K20" i="5"/>
  <c r="Q18" i="4"/>
  <c r="P17" i="4"/>
  <c r="Q16" i="4"/>
  <c r="P15" i="4"/>
  <c r="S16" i="4"/>
  <c r="S15" i="4"/>
  <c r="D18" i="4"/>
  <c r="C17" i="4"/>
  <c r="I16" i="4"/>
  <c r="G16" i="4"/>
  <c r="D16" i="4"/>
  <c r="I15" i="4"/>
  <c r="G15" i="4"/>
  <c r="C15" i="4"/>
  <c r="J21" i="1"/>
  <c r="J20" i="1"/>
  <c r="H20" i="1"/>
  <c r="E23" i="1"/>
  <c r="E21" i="1"/>
  <c r="D20" i="1"/>
  <c r="D22" i="1"/>
  <c r="H21" i="1"/>
  <c r="O14" i="7" l="1"/>
  <c r="O14" i="8"/>
  <c r="O15" i="5"/>
  <c r="O14" i="5"/>
  <c r="L21" i="7"/>
  <c r="K20" i="8"/>
  <c r="K22" i="8"/>
</calcChain>
</file>

<file path=xl/sharedStrings.xml><?xml version="1.0" encoding="utf-8"?>
<sst xmlns="http://schemas.openxmlformats.org/spreadsheetml/2006/main" count="471" uniqueCount="71">
  <si>
    <t>Pin</t>
  </si>
  <si>
    <t>Actual OT</t>
  </si>
  <si>
    <t>Actual ST</t>
  </si>
  <si>
    <t>Actual CT</t>
  </si>
  <si>
    <t>p</t>
  </si>
  <si>
    <t>xxHPCC_DPIN_PMU_slcA_Short</t>
  </si>
  <si>
    <t>f</t>
  </si>
  <si>
    <t>xxHPCC_DPIN_PMU_slcA_50ohm1</t>
  </si>
  <si>
    <t>xxHPCC_DPIN_PMU_slcA_50ohm2</t>
  </si>
  <si>
    <t>xxHPCC_DPIN_PMU_slcA_50ohm3</t>
  </si>
  <si>
    <t>xxHPCC_DPIN_PMU_slcA_100ohm</t>
  </si>
  <si>
    <t>xxHPCC_DPIN_PMU_slcA_200ohm</t>
  </si>
  <si>
    <t>xxHPCC_DPIN_PMU_slcA_1Kohm</t>
  </si>
  <si>
    <t>xxHPCC_DPIN_PMU_slcA_2Kohm</t>
  </si>
  <si>
    <t>xxHPCC_DPIN_PMU_slcA_10Kohm</t>
  </si>
  <si>
    <t>xxHPCC_DPIN_PMU_slcA_20Kohm</t>
  </si>
  <si>
    <t>xxHPCC_DPIN_PMU_slcA_180Kohm</t>
  </si>
  <si>
    <t>xxHPCC_DPIN_PMU_slcA_1Mohm1</t>
  </si>
  <si>
    <t>xxHPCC_DPIN_PMU_slcA_1Mohm2</t>
  </si>
  <si>
    <t>xxHPCC_DPIN_PMU_slcA_DiodeNeg</t>
  </si>
  <si>
    <t>xxHPCC_DPIN_PMU_slcA_DiodePos</t>
  </si>
  <si>
    <t>xxHPCC_DPIN_PMU_slcA_Open</t>
  </si>
  <si>
    <t>All Mask is False</t>
  </si>
  <si>
    <t>AllTestsPassV2</t>
  </si>
  <si>
    <t>#</t>
  </si>
  <si>
    <t>_FAILING_OPENS</t>
  </si>
  <si>
    <t>_FAILING_SHORTS</t>
  </si>
  <si>
    <t>_PASSING_OPENS</t>
  </si>
  <si>
    <t>_PASSING_SHORTS</t>
  </si>
  <si>
    <t>All Mask is True</t>
  </si>
  <si>
    <t>x</t>
  </si>
  <si>
    <t>Is Mask?</t>
  </si>
  <si>
    <t>p/p/p</t>
  </si>
  <si>
    <t>x/x/x</t>
  </si>
  <si>
    <t>p/x/p</t>
  </si>
  <si>
    <t>x/p/x</t>
  </si>
  <si>
    <t>Final Status</t>
  </si>
  <si>
    <t>DcTest Result</t>
  </si>
  <si>
    <t>ShortsTest</t>
  </si>
  <si>
    <t>OpensTest</t>
  </si>
  <si>
    <t>ContactResistanceTest</t>
  </si>
  <si>
    <t>**Pin that Pass/Fail the test, not include Mask (Don't Care)</t>
  </si>
  <si>
    <t>Pin001</t>
  </si>
  <si>
    <t>Pin002</t>
  </si>
  <si>
    <t>Pin003</t>
  </si>
  <si>
    <t>Pin004</t>
  </si>
  <si>
    <t>Pin005</t>
  </si>
  <si>
    <t>Pin006</t>
  </si>
  <si>
    <t>Pin007</t>
  </si>
  <si>
    <t>Pin008</t>
  </si>
  <si>
    <t>Pin009</t>
  </si>
  <si>
    <t>Pin010</t>
  </si>
  <si>
    <t>Depend on _fc</t>
  </si>
  <si>
    <t>This data is refering to test case using SetupFilePath "AllTestsPassV2"</t>
  </si>
  <si>
    <t>Post process content for wiki</t>
  </si>
  <si>
    <t>Result after apply Mask</t>
  </si>
  <si>
    <t>Opens
Mask</t>
  </si>
  <si>
    <t>Shorts
MaskMask</t>
  </si>
  <si>
    <t>Contact
Resistance
Mask</t>
  </si>
  <si>
    <t>Contact
Resistance
Test</t>
  </si>
  <si>
    <t>All Mask is set to False</t>
  </si>
  <si>
    <t>Opens
Test</t>
  </si>
  <si>
    <t>Shorts
Test</t>
  </si>
  <si>
    <t>**Pin that Pass all Tests or All Pass with Mask (Don't Care)</t>
  </si>
  <si>
    <t>All Mask is set to True</t>
  </si>
  <si>
    <t>All Mask is set on need</t>
  </si>
  <si>
    <t>2_tname &amp; 2_faildata</t>
  </si>
  <si>
    <t>2_tname_failchannel &amp; 2_strgval</t>
  </si>
  <si>
    <t>#_pc &amp;  2_composite</t>
  </si>
  <si>
    <t>#_fc &amp; 2_composite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</si>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</sst>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0" borderId="0" xfId="0" applyAlignment="1">
      <alignment horizontal="righ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/>
    <xf numFmtId="0" fontId="1" fillId="2" borderId="1" xfId="1"/>
    <xf numFmtId="0" fontId="1" fillId="2" borderId="1" xfId="1" applyAlignment="1">
      <alignment horizontal="center"/>
    </xf>
    <xf numFmtId="0" fontId="1" fillId="2" borderId="2" xfId="1" applyBorder="1" applyAlignment="1">
      <alignment horizontal="center"/>
    </xf>
    <xf numFmtId="0" fontId="1" fillId="2" borderId="0" xfId="1" applyBorder="1" applyAlignment="1">
      <alignment horizontal="center"/>
    </xf>
    <xf numFmtId="0" fontId="0" fillId="0" borderId="0" xfId="0" applyAlignment="1">
      <alignment horizontal="center" wrapText="1"/>
    </xf>
    <xf numFmtId="0" fontId="2" fillId="3" borderId="1" xfId="2" applyAlignment="1">
      <alignment horizontal="left"/>
    </xf>
    <xf numFmtId="0" fontId="2" fillId="3" borderId="1" xfId="2"/>
  </cellXfs>
  <cellStyles count="3">
    <cellStyle name="Calculation" xfId="2" builtinId="22"/>
    <cellStyle name="Input" xfId="1" builtinId="20"/>
    <cellStyle name="Normal" xfId="0" builtinId="0"/>
  </cellStyles>
  <dxfs count="7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C8A2-83AA-42A1-B523-2E987386FACA}">
  <dimension ref="A1:R24"/>
  <sheetViews>
    <sheetView zoomScale="150" zoomScaleNormal="150" workbookViewId="0">
      <selection activeCell="Q3" sqref="Q3"/>
    </sheetView>
  </sheetViews>
  <sheetFormatPr defaultRowHeight="15" x14ac:dyDescent="0.25"/>
  <cols>
    <col min="1" max="1" width="3" style="1" bestFit="1" customWidth="1"/>
    <col min="2" max="2" width="8.28515625" style="1" bestFit="1" customWidth="1"/>
    <col min="3" max="3" width="32.7109375" customWidth="1"/>
    <col min="4" max="6" width="9.7109375" customWidth="1"/>
    <col min="7" max="7" width="28.7109375" style="1" customWidth="1"/>
    <col min="8" max="8" width="15.7109375" customWidth="1"/>
    <col min="9" max="9" width="5.7109375" customWidth="1"/>
    <col min="10" max="10" width="15.7109375" customWidth="1"/>
    <col min="11" max="12" width="9.140625" customWidth="1"/>
    <col min="13" max="13" width="5.7109375" customWidth="1"/>
  </cols>
  <sheetData>
    <row r="1" spans="1:17" x14ac:dyDescent="0.25">
      <c r="C1" s="12" t="s">
        <v>53</v>
      </c>
      <c r="D1" s="13"/>
      <c r="E1" s="13"/>
      <c r="F1" s="13"/>
    </row>
    <row r="2" spans="1:17" x14ac:dyDescent="0.25">
      <c r="A2" s="1" t="s">
        <v>24</v>
      </c>
      <c r="B2" s="1" t="s">
        <v>70</v>
      </c>
      <c r="C2" t="s">
        <v>0</v>
      </c>
      <c r="D2" t="s">
        <v>1</v>
      </c>
      <c r="E2" t="s">
        <v>2</v>
      </c>
      <c r="F2" t="s">
        <v>3</v>
      </c>
      <c r="H2" t="s">
        <v>22</v>
      </c>
      <c r="J2" t="s">
        <v>29</v>
      </c>
      <c r="N2" s="5" t="s">
        <v>31</v>
      </c>
      <c r="O2" s="5" t="s">
        <v>31</v>
      </c>
      <c r="P2" s="5" t="s">
        <v>31</v>
      </c>
    </row>
    <row r="3" spans="1:17" x14ac:dyDescent="0.25">
      <c r="A3" s="1">
        <v>1</v>
      </c>
      <c r="B3" s="1">
        <v>8000</v>
      </c>
      <c r="C3" t="s">
        <v>5</v>
      </c>
      <c r="D3" t="s">
        <v>4</v>
      </c>
      <c r="E3" t="s">
        <v>4</v>
      </c>
      <c r="F3" t="s">
        <v>4</v>
      </c>
      <c r="H3" t="s">
        <v>4</v>
      </c>
      <c r="J3" t="s">
        <v>4</v>
      </c>
      <c r="K3" s="3"/>
      <c r="L3" s="3"/>
      <c r="N3" s="5" t="b">
        <v>0</v>
      </c>
      <c r="O3" s="5" t="b">
        <v>0</v>
      </c>
      <c r="P3" s="5" t="b">
        <v>0</v>
      </c>
      <c r="Q3" t="s">
        <v>32</v>
      </c>
    </row>
    <row r="4" spans="1:17" x14ac:dyDescent="0.25">
      <c r="A4" s="1">
        <v>2</v>
      </c>
      <c r="B4" s="1">
        <v>8001</v>
      </c>
      <c r="C4" t="s">
        <v>7</v>
      </c>
      <c r="D4" t="s">
        <v>6</v>
      </c>
      <c r="E4" t="s">
        <v>4</v>
      </c>
      <c r="F4" t="s">
        <v>6</v>
      </c>
      <c r="H4" t="s">
        <v>6</v>
      </c>
      <c r="J4" t="s">
        <v>4</v>
      </c>
      <c r="K4" s="3"/>
      <c r="L4" s="3"/>
      <c r="N4" s="5" t="b">
        <v>1</v>
      </c>
      <c r="O4" s="5" t="b">
        <v>1</v>
      </c>
      <c r="P4" s="5" t="b">
        <v>1</v>
      </c>
      <c r="Q4" t="s">
        <v>33</v>
      </c>
    </row>
    <row r="5" spans="1:17" x14ac:dyDescent="0.25">
      <c r="A5" s="1">
        <v>3</v>
      </c>
      <c r="B5" s="1">
        <v>8002</v>
      </c>
      <c r="C5" t="s">
        <v>8</v>
      </c>
      <c r="D5" t="s">
        <v>4</v>
      </c>
      <c r="E5" t="s">
        <v>4</v>
      </c>
      <c r="F5" t="s">
        <v>4</v>
      </c>
      <c r="H5" t="s">
        <v>4</v>
      </c>
      <c r="J5" t="s">
        <v>4</v>
      </c>
      <c r="K5" s="3"/>
      <c r="L5" s="3"/>
      <c r="N5" s="5" t="b">
        <v>1</v>
      </c>
      <c r="O5" s="5" t="b">
        <v>0</v>
      </c>
      <c r="P5" s="5" t="b">
        <v>1</v>
      </c>
      <c r="Q5" t="s">
        <v>35</v>
      </c>
    </row>
    <row r="6" spans="1:17" x14ac:dyDescent="0.25">
      <c r="A6" s="1">
        <v>4</v>
      </c>
      <c r="B6" s="1">
        <v>8003</v>
      </c>
      <c r="C6" t="s">
        <v>9</v>
      </c>
      <c r="D6" t="s">
        <v>4</v>
      </c>
      <c r="E6" t="s">
        <v>6</v>
      </c>
      <c r="F6" t="s">
        <v>4</v>
      </c>
      <c r="H6" t="s">
        <v>6</v>
      </c>
      <c r="J6" t="s">
        <v>4</v>
      </c>
      <c r="K6" s="3"/>
      <c r="L6" s="3"/>
      <c r="N6" s="5" t="b">
        <v>0</v>
      </c>
      <c r="O6" s="5" t="b">
        <v>1</v>
      </c>
      <c r="P6" s="5" t="b">
        <v>0</v>
      </c>
      <c r="Q6" t="s">
        <v>34</v>
      </c>
    </row>
    <row r="7" spans="1:17" x14ac:dyDescent="0.25">
      <c r="A7" s="1">
        <v>5</v>
      </c>
      <c r="B7" s="1">
        <v>8004</v>
      </c>
      <c r="C7" t="s">
        <v>10</v>
      </c>
      <c r="D7" t="s">
        <v>6</v>
      </c>
      <c r="E7" t="s">
        <v>4</v>
      </c>
      <c r="F7" t="s">
        <v>6</v>
      </c>
      <c r="H7" t="s">
        <v>6</v>
      </c>
      <c r="J7" t="s">
        <v>4</v>
      </c>
      <c r="K7" s="3"/>
      <c r="L7" s="3"/>
      <c r="N7" s="5" t="b">
        <v>1</v>
      </c>
      <c r="O7" s="5" t="b">
        <v>0</v>
      </c>
      <c r="P7" s="5" t="b">
        <v>1</v>
      </c>
      <c r="Q7" t="s">
        <v>35</v>
      </c>
    </row>
    <row r="8" spans="1:17" x14ac:dyDescent="0.25">
      <c r="A8" s="1">
        <v>6</v>
      </c>
      <c r="B8" s="1">
        <v>8005</v>
      </c>
      <c r="C8" t="s">
        <v>11</v>
      </c>
      <c r="D8" t="s">
        <v>6</v>
      </c>
      <c r="E8" t="s">
        <v>4</v>
      </c>
      <c r="F8" t="s">
        <v>6</v>
      </c>
      <c r="H8" t="s">
        <v>6</v>
      </c>
      <c r="J8" t="s">
        <v>4</v>
      </c>
      <c r="K8" s="3"/>
      <c r="L8" s="3"/>
      <c r="N8" s="5" t="b">
        <v>1</v>
      </c>
      <c r="O8" s="5" t="b">
        <v>0</v>
      </c>
      <c r="P8" s="5" t="b">
        <v>1</v>
      </c>
      <c r="Q8" t="s">
        <v>35</v>
      </c>
    </row>
    <row r="9" spans="1:17" x14ac:dyDescent="0.25">
      <c r="A9" s="1">
        <v>7</v>
      </c>
      <c r="B9" s="1">
        <v>8006</v>
      </c>
      <c r="C9" t="s">
        <v>12</v>
      </c>
      <c r="D9" t="s">
        <v>4</v>
      </c>
      <c r="E9" t="s">
        <v>6</v>
      </c>
      <c r="F9" t="s">
        <v>4</v>
      </c>
      <c r="H9" t="s">
        <v>6</v>
      </c>
      <c r="J9" t="s">
        <v>4</v>
      </c>
      <c r="K9" s="3"/>
      <c r="L9" s="3"/>
      <c r="N9" s="5" t="b">
        <v>0</v>
      </c>
      <c r="O9" s="5" t="b">
        <v>1</v>
      </c>
      <c r="P9" s="5" t="b">
        <v>0</v>
      </c>
      <c r="Q9" t="s">
        <v>34</v>
      </c>
    </row>
    <row r="10" spans="1:17" x14ac:dyDescent="0.25">
      <c r="A10" s="1">
        <v>8</v>
      </c>
      <c r="B10" s="1">
        <v>8007</v>
      </c>
      <c r="C10" t="s">
        <v>13</v>
      </c>
      <c r="D10" t="s">
        <v>4</v>
      </c>
      <c r="E10" t="s">
        <v>4</v>
      </c>
      <c r="F10" t="s">
        <v>4</v>
      </c>
      <c r="H10" t="s">
        <v>4</v>
      </c>
      <c r="J10" t="s">
        <v>4</v>
      </c>
      <c r="K10" s="3"/>
      <c r="L10" s="3"/>
      <c r="N10" s="5" t="b">
        <v>0</v>
      </c>
      <c r="O10" s="5" t="b">
        <v>0</v>
      </c>
      <c r="P10" s="5" t="b">
        <v>0</v>
      </c>
      <c r="Q10" t="s">
        <v>4</v>
      </c>
    </row>
    <row r="11" spans="1:17" x14ac:dyDescent="0.25">
      <c r="A11" s="1">
        <v>9</v>
      </c>
      <c r="B11" s="1">
        <v>8008</v>
      </c>
      <c r="C11" t="s">
        <v>14</v>
      </c>
      <c r="D11" t="s">
        <v>4</v>
      </c>
      <c r="E11" t="s">
        <v>4</v>
      </c>
      <c r="F11" t="s">
        <v>4</v>
      </c>
      <c r="H11" t="s">
        <v>4</v>
      </c>
      <c r="J11" t="s">
        <v>4</v>
      </c>
      <c r="K11" s="3"/>
      <c r="L11" s="3"/>
      <c r="N11" s="5" t="b">
        <v>0</v>
      </c>
      <c r="O11" s="5" t="b">
        <v>0</v>
      </c>
      <c r="P11" s="5" t="b">
        <v>0</v>
      </c>
      <c r="Q11" t="s">
        <v>4</v>
      </c>
    </row>
    <row r="12" spans="1:17" x14ac:dyDescent="0.25">
      <c r="A12" s="1">
        <v>10</v>
      </c>
      <c r="B12" s="1">
        <v>8009</v>
      </c>
      <c r="C12" t="s">
        <v>15</v>
      </c>
      <c r="D12" t="s">
        <v>4</v>
      </c>
      <c r="E12" t="s">
        <v>4</v>
      </c>
      <c r="F12" t="s">
        <v>4</v>
      </c>
      <c r="H12" t="s">
        <v>4</v>
      </c>
      <c r="J12" t="s">
        <v>4</v>
      </c>
      <c r="K12" s="3"/>
      <c r="L12" s="3"/>
      <c r="N12" s="5" t="b">
        <v>0</v>
      </c>
      <c r="O12" s="5" t="b">
        <v>0</v>
      </c>
      <c r="P12" s="5" t="b">
        <v>0</v>
      </c>
      <c r="Q12" t="s">
        <v>4</v>
      </c>
    </row>
    <row r="13" spans="1:17" x14ac:dyDescent="0.25">
      <c r="A13" s="1">
        <v>11</v>
      </c>
      <c r="B13" s="1">
        <v>8010</v>
      </c>
      <c r="C13" t="s">
        <v>16</v>
      </c>
      <c r="D13" t="s">
        <v>4</v>
      </c>
      <c r="E13" t="s">
        <v>4</v>
      </c>
      <c r="F13" t="s">
        <v>4</v>
      </c>
      <c r="H13" t="s">
        <v>4</v>
      </c>
      <c r="J13" t="s">
        <v>4</v>
      </c>
      <c r="K13" s="3"/>
      <c r="L13" s="3"/>
      <c r="N13" s="5" t="b">
        <v>0</v>
      </c>
      <c r="O13" s="5" t="b">
        <v>0</v>
      </c>
      <c r="P13" s="5" t="b">
        <v>0</v>
      </c>
      <c r="Q13" t="s">
        <v>4</v>
      </c>
    </row>
    <row r="14" spans="1:17" x14ac:dyDescent="0.25">
      <c r="A14" s="1">
        <v>12</v>
      </c>
      <c r="B14" s="1">
        <v>8011</v>
      </c>
      <c r="C14" t="s">
        <v>17</v>
      </c>
      <c r="D14" t="s">
        <v>4</v>
      </c>
      <c r="E14" t="s">
        <v>4</v>
      </c>
      <c r="F14" t="s">
        <v>4</v>
      </c>
      <c r="H14" t="s">
        <v>4</v>
      </c>
      <c r="J14" t="s">
        <v>4</v>
      </c>
      <c r="K14" s="3"/>
      <c r="L14" s="3"/>
      <c r="N14" s="5" t="b">
        <v>0</v>
      </c>
      <c r="O14" s="5" t="b">
        <v>0</v>
      </c>
      <c r="P14" s="5" t="b">
        <v>0</v>
      </c>
      <c r="Q14" t="s">
        <v>4</v>
      </c>
    </row>
    <row r="15" spans="1:17" x14ac:dyDescent="0.25">
      <c r="A15" s="1">
        <v>13</v>
      </c>
      <c r="B15" s="1">
        <v>8012</v>
      </c>
      <c r="C15" t="s">
        <v>18</v>
      </c>
      <c r="D15" t="s">
        <v>4</v>
      </c>
      <c r="E15" t="s">
        <v>4</v>
      </c>
      <c r="F15" t="s">
        <v>4</v>
      </c>
      <c r="H15" t="s">
        <v>4</v>
      </c>
      <c r="J15" t="s">
        <v>4</v>
      </c>
      <c r="K15" s="3"/>
      <c r="L15" s="3"/>
      <c r="N15" s="5" t="b">
        <v>0</v>
      </c>
      <c r="O15" s="5" t="b">
        <v>0</v>
      </c>
      <c r="P15" s="5" t="b">
        <v>0</v>
      </c>
      <c r="Q15" t="s">
        <v>4</v>
      </c>
    </row>
    <row r="16" spans="1:17" x14ac:dyDescent="0.25">
      <c r="A16" s="1">
        <v>14</v>
      </c>
      <c r="B16" s="1">
        <v>8013</v>
      </c>
      <c r="C16" t="s">
        <v>19</v>
      </c>
      <c r="D16" t="s">
        <v>4</v>
      </c>
      <c r="E16" t="s">
        <v>4</v>
      </c>
      <c r="F16" t="s">
        <v>4</v>
      </c>
      <c r="H16" t="s">
        <v>4</v>
      </c>
      <c r="J16" t="s">
        <v>4</v>
      </c>
      <c r="K16" s="3"/>
      <c r="L16" s="3"/>
      <c r="N16" s="5" t="b">
        <v>0</v>
      </c>
      <c r="O16" s="5" t="b">
        <v>0</v>
      </c>
      <c r="P16" s="5" t="b">
        <v>0</v>
      </c>
      <c r="Q16" t="s">
        <v>4</v>
      </c>
    </row>
    <row r="17" spans="1:18" x14ac:dyDescent="0.25">
      <c r="A17" s="1">
        <v>15</v>
      </c>
      <c r="B17" s="1">
        <v>8014</v>
      </c>
      <c r="C17" t="s">
        <v>20</v>
      </c>
      <c r="D17" t="s">
        <v>4</v>
      </c>
      <c r="E17" t="s">
        <v>4</v>
      </c>
      <c r="F17" t="s">
        <v>4</v>
      </c>
      <c r="H17" t="s">
        <v>4</v>
      </c>
      <c r="J17" t="s">
        <v>4</v>
      </c>
      <c r="K17" s="3"/>
      <c r="L17" s="3"/>
      <c r="N17" s="5" t="b">
        <v>0</v>
      </c>
      <c r="O17" s="5" t="b">
        <v>0</v>
      </c>
      <c r="P17" s="5" t="b">
        <v>0</v>
      </c>
      <c r="Q17" t="s">
        <v>4</v>
      </c>
    </row>
    <row r="18" spans="1:18" x14ac:dyDescent="0.25">
      <c r="A18" s="1">
        <v>16</v>
      </c>
      <c r="B18" s="1">
        <v>8015</v>
      </c>
      <c r="C18" t="s">
        <v>21</v>
      </c>
      <c r="D18" t="s">
        <v>4</v>
      </c>
      <c r="E18" t="s">
        <v>4</v>
      </c>
      <c r="F18" t="s">
        <v>4</v>
      </c>
      <c r="H18" t="s">
        <v>4</v>
      </c>
      <c r="J18" t="s">
        <v>4</v>
      </c>
      <c r="K18" s="3"/>
      <c r="L18" s="3"/>
      <c r="N18" s="5" t="b">
        <v>0</v>
      </c>
      <c r="O18" s="5" t="b">
        <v>0</v>
      </c>
      <c r="P18" s="5" t="b">
        <v>0</v>
      </c>
      <c r="Q18" t="s">
        <v>4</v>
      </c>
    </row>
    <row r="20" spans="1:18" x14ac:dyDescent="0.25">
      <c r="C20" s="1" t="s">
        <v>25</v>
      </c>
      <c r="D20">
        <f>COUNTIF(D3:D18,"f")</f>
        <v>3</v>
      </c>
      <c r="E20" s="3"/>
      <c r="F20" s="3"/>
      <c r="G20" s="1" t="s">
        <v>68</v>
      </c>
      <c r="H20">
        <f>COUNTIF(H3:H18,"p")+COUNTIF(H3:H18,"x")</f>
        <v>11</v>
      </c>
      <c r="J20">
        <f>COUNTIF(J3:J18,"p")+COUNTIF(J3:J18,"x")</f>
        <v>16</v>
      </c>
      <c r="K20">
        <v>0</v>
      </c>
      <c r="L20" s="3"/>
      <c r="Q20">
        <v>16</v>
      </c>
      <c r="R20">
        <v>0</v>
      </c>
    </row>
    <row r="21" spans="1:18" x14ac:dyDescent="0.25">
      <c r="C21" s="1" t="s">
        <v>26</v>
      </c>
      <c r="D21" s="3"/>
      <c r="E21">
        <f>COUNTIF(E3:E18,"f")</f>
        <v>2</v>
      </c>
      <c r="F21" s="3"/>
      <c r="G21" s="1" t="s">
        <v>69</v>
      </c>
      <c r="H21">
        <f>COUNTIF(H3:H18,"f")</f>
        <v>5</v>
      </c>
      <c r="J21">
        <f>COUNTIF(J3:J18,"f")</f>
        <v>0</v>
      </c>
      <c r="K21" s="3"/>
      <c r="L21">
        <v>0</v>
      </c>
      <c r="Q21">
        <v>0</v>
      </c>
      <c r="R21">
        <v>0</v>
      </c>
    </row>
    <row r="22" spans="1:18" x14ac:dyDescent="0.25">
      <c r="C22" s="1" t="s">
        <v>27</v>
      </c>
      <c r="D22">
        <f>COUNTIF(D3:D18,"p")</f>
        <v>13</v>
      </c>
      <c r="E22" s="3"/>
      <c r="F22" s="3"/>
      <c r="G22" s="1" t="s">
        <v>67</v>
      </c>
      <c r="H22" s="1" t="s">
        <v>52</v>
      </c>
      <c r="J22" s="1" t="s">
        <v>52</v>
      </c>
      <c r="K22">
        <v>0</v>
      </c>
      <c r="L22" s="3"/>
      <c r="Q22" s="3"/>
      <c r="R22">
        <v>12</v>
      </c>
    </row>
    <row r="23" spans="1:18" x14ac:dyDescent="0.25">
      <c r="C23" s="1" t="s">
        <v>28</v>
      </c>
      <c r="D23" s="3"/>
      <c r="E23">
        <f>COUNTIF(E3:E18,"p")</f>
        <v>14</v>
      </c>
      <c r="F23" s="3"/>
      <c r="G23" s="1" t="s">
        <v>66</v>
      </c>
      <c r="H23" s="1" t="s">
        <v>52</v>
      </c>
      <c r="J23" s="1" t="s">
        <v>52</v>
      </c>
      <c r="K23" s="3"/>
      <c r="L23">
        <v>0</v>
      </c>
      <c r="Q23" s="3"/>
      <c r="R23">
        <v>13</v>
      </c>
    </row>
    <row r="24" spans="1:18" ht="30" x14ac:dyDescent="0.25">
      <c r="C24" s="4" t="s">
        <v>41</v>
      </c>
      <c r="D24" s="3"/>
      <c r="E24" s="3"/>
      <c r="F24" s="3"/>
      <c r="G24" s="4" t="s">
        <v>63</v>
      </c>
      <c r="H24" s="3"/>
      <c r="J24" s="3"/>
      <c r="K24" s="3"/>
      <c r="L24" s="3"/>
      <c r="Q24" s="3"/>
      <c r="R24" s="3"/>
    </row>
  </sheetData>
  <mergeCells count="1">
    <mergeCell ref="C1:F1"/>
  </mergeCells>
  <conditionalFormatting sqref="D3:F18">
    <cfRule type="cellIs" dxfId="78" priority="15" operator="notEqual">
      <formula>"p"</formula>
    </cfRule>
    <cfRule type="cellIs" dxfId="77" priority="16" operator="equal">
      <formula>"p"</formula>
    </cfRule>
  </conditionalFormatting>
  <conditionalFormatting sqref="H3:H18">
    <cfRule type="cellIs" dxfId="76" priority="11" operator="equal">
      <formula>"p"</formula>
    </cfRule>
    <cfRule type="cellIs" dxfId="75" priority="12" operator="notEqual">
      <formula>"p"</formula>
    </cfRule>
  </conditionalFormatting>
  <conditionalFormatting sqref="J3:J18">
    <cfRule type="cellIs" dxfId="74" priority="7" operator="equal">
      <formula>"x"</formula>
    </cfRule>
    <cfRule type="cellIs" dxfId="73" priority="9" operator="equal">
      <formula>"p"</formula>
    </cfRule>
    <cfRule type="cellIs" dxfId="72" priority="10" operator="notEqual">
      <formula>"p"</formula>
    </cfRule>
  </conditionalFormatting>
  <conditionalFormatting sqref="N3:P18">
    <cfRule type="cellIs" dxfId="71" priority="3" operator="equal">
      <formula>TRUE</formula>
    </cfRule>
    <cfRule type="cellIs" dxfId="70" priority="4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9162-9688-4E19-8A1A-EF1C736EB9B2}">
  <dimension ref="A1:S19"/>
  <sheetViews>
    <sheetView zoomScale="150" zoomScaleNormal="150" workbookViewId="0">
      <selection activeCell="S3" sqref="S3"/>
    </sheetView>
  </sheetViews>
  <sheetFormatPr defaultRowHeight="15" x14ac:dyDescent="0.25"/>
  <cols>
    <col min="1" max="1" width="3" style="1" bestFit="1" customWidth="1"/>
    <col min="2" max="2" width="32.7109375" customWidth="1"/>
    <col min="3" max="5" width="9.7109375" customWidth="1"/>
    <col min="6" max="6" width="28.7109375" style="1" customWidth="1"/>
    <col min="7" max="7" width="15.7109375" customWidth="1"/>
    <col min="8" max="8" width="5.7109375" customWidth="1"/>
    <col min="9" max="9" width="15.7109375" customWidth="1"/>
    <col min="10" max="11" width="9.140625" customWidth="1"/>
    <col min="12" max="12" width="5.7109375" customWidth="1"/>
    <col min="13" max="15" width="9.140625" customWidth="1"/>
  </cols>
  <sheetData>
    <row r="1" spans="1:19" x14ac:dyDescent="0.25">
      <c r="B1" s="10" t="s">
        <v>54</v>
      </c>
      <c r="C1" s="6" t="s">
        <v>37</v>
      </c>
      <c r="D1" s="6"/>
      <c r="E1" s="6"/>
      <c r="G1" t="s">
        <v>23</v>
      </c>
      <c r="I1" t="s">
        <v>23</v>
      </c>
    </row>
    <row r="2" spans="1:19" x14ac:dyDescent="0.25">
      <c r="A2" s="1" t="s">
        <v>24</v>
      </c>
      <c r="B2" t="s">
        <v>0</v>
      </c>
      <c r="C2" s="9" t="s">
        <v>39</v>
      </c>
      <c r="D2" s="9" t="s">
        <v>38</v>
      </c>
      <c r="E2" s="2" t="s">
        <v>40</v>
      </c>
      <c r="G2" t="s">
        <v>22</v>
      </c>
      <c r="I2" t="s">
        <v>29</v>
      </c>
      <c r="M2" s="5" t="s">
        <v>31</v>
      </c>
      <c r="N2" s="5" t="s">
        <v>31</v>
      </c>
      <c r="O2" s="5" t="s">
        <v>31</v>
      </c>
      <c r="S2" t="s">
        <v>36</v>
      </c>
    </row>
    <row r="3" spans="1:19" x14ac:dyDescent="0.25">
      <c r="A3" s="1">
        <v>1</v>
      </c>
      <c r="B3" t="s">
        <v>42</v>
      </c>
      <c r="C3" t="s">
        <v>4</v>
      </c>
      <c r="D3" t="s">
        <v>4</v>
      </c>
      <c r="E3" t="s">
        <v>4</v>
      </c>
      <c r="G3" t="s">
        <v>4</v>
      </c>
      <c r="I3" t="s">
        <v>4</v>
      </c>
      <c r="J3" s="3"/>
      <c r="K3" s="3"/>
      <c r="M3" s="5" t="b">
        <v>0</v>
      </c>
      <c r="N3" s="5" t="b">
        <v>0</v>
      </c>
      <c r="O3" s="5" t="b">
        <v>0</v>
      </c>
      <c r="P3" t="s">
        <v>4</v>
      </c>
      <c r="Q3" t="s">
        <v>4</v>
      </c>
      <c r="R3" t="s">
        <v>4</v>
      </c>
      <c r="S3" t="s">
        <v>4</v>
      </c>
    </row>
    <row r="4" spans="1:19" x14ac:dyDescent="0.25">
      <c r="A4" s="1">
        <v>2</v>
      </c>
      <c r="B4" t="s">
        <v>43</v>
      </c>
      <c r="C4" t="s">
        <v>6</v>
      </c>
      <c r="D4" t="s">
        <v>4</v>
      </c>
      <c r="E4" t="s">
        <v>6</v>
      </c>
      <c r="G4" t="s">
        <v>6</v>
      </c>
      <c r="I4" t="s">
        <v>4</v>
      </c>
      <c r="J4" s="3"/>
      <c r="K4" s="3"/>
      <c r="M4" s="5" t="b">
        <v>1</v>
      </c>
      <c r="N4" s="5" t="b">
        <v>1</v>
      </c>
      <c r="O4" s="5" t="b">
        <v>1</v>
      </c>
      <c r="P4" t="s">
        <v>30</v>
      </c>
      <c r="Q4" t="s">
        <v>30</v>
      </c>
      <c r="R4" t="s">
        <v>30</v>
      </c>
      <c r="S4" t="s">
        <v>4</v>
      </c>
    </row>
    <row r="5" spans="1:19" x14ac:dyDescent="0.25">
      <c r="A5" s="1">
        <v>3</v>
      </c>
      <c r="B5" t="s">
        <v>44</v>
      </c>
      <c r="C5" t="s">
        <v>4</v>
      </c>
      <c r="D5" t="s">
        <v>4</v>
      </c>
      <c r="E5" t="s">
        <v>4</v>
      </c>
      <c r="G5" t="s">
        <v>4</v>
      </c>
      <c r="I5" t="s">
        <v>4</v>
      </c>
      <c r="J5" s="3"/>
      <c r="K5" s="3"/>
      <c r="M5" s="5" t="b">
        <v>1</v>
      </c>
      <c r="N5" s="5" t="b">
        <v>0</v>
      </c>
      <c r="O5" s="5" t="b">
        <v>1</v>
      </c>
      <c r="P5" t="s">
        <v>30</v>
      </c>
      <c r="Q5" t="s">
        <v>4</v>
      </c>
      <c r="R5" t="s">
        <v>30</v>
      </c>
      <c r="S5" t="s">
        <v>4</v>
      </c>
    </row>
    <row r="6" spans="1:19" x14ac:dyDescent="0.25">
      <c r="A6" s="1">
        <v>4</v>
      </c>
      <c r="B6" t="s">
        <v>45</v>
      </c>
      <c r="C6" t="s">
        <v>4</v>
      </c>
      <c r="D6" t="s">
        <v>6</v>
      </c>
      <c r="E6" t="s">
        <v>4</v>
      </c>
      <c r="G6" t="s">
        <v>6</v>
      </c>
      <c r="I6" t="s">
        <v>4</v>
      </c>
      <c r="J6" s="3"/>
      <c r="K6" s="3"/>
      <c r="M6" s="5" t="b">
        <v>0</v>
      </c>
      <c r="N6" s="5" t="b">
        <v>1</v>
      </c>
      <c r="O6" s="5" t="b">
        <v>0</v>
      </c>
      <c r="P6" t="s">
        <v>4</v>
      </c>
      <c r="Q6" t="s">
        <v>30</v>
      </c>
      <c r="R6" t="s">
        <v>4</v>
      </c>
      <c r="S6" t="s">
        <v>4</v>
      </c>
    </row>
    <row r="7" spans="1:19" x14ac:dyDescent="0.25">
      <c r="A7" s="1">
        <v>5</v>
      </c>
      <c r="B7" t="s">
        <v>46</v>
      </c>
      <c r="C7" t="s">
        <v>6</v>
      </c>
      <c r="D7" t="s">
        <v>4</v>
      </c>
      <c r="E7" t="s">
        <v>6</v>
      </c>
      <c r="G7" t="s">
        <v>6</v>
      </c>
      <c r="I7" t="s">
        <v>4</v>
      </c>
      <c r="J7" s="3"/>
      <c r="K7" s="3"/>
      <c r="M7" s="5" t="b">
        <v>1</v>
      </c>
      <c r="N7" s="5" t="b">
        <v>0</v>
      </c>
      <c r="O7" s="5" t="b">
        <v>1</v>
      </c>
      <c r="P7" t="s">
        <v>30</v>
      </c>
      <c r="Q7" t="s">
        <v>4</v>
      </c>
      <c r="R7" t="s">
        <v>30</v>
      </c>
      <c r="S7" t="s">
        <v>4</v>
      </c>
    </row>
    <row r="8" spans="1:19" x14ac:dyDescent="0.25">
      <c r="A8" s="1">
        <v>6</v>
      </c>
      <c r="B8" t="s">
        <v>47</v>
      </c>
      <c r="C8" t="s">
        <v>6</v>
      </c>
      <c r="D8" t="s">
        <v>4</v>
      </c>
      <c r="E8" t="s">
        <v>6</v>
      </c>
      <c r="G8" t="s">
        <v>6</v>
      </c>
      <c r="I8" t="s">
        <v>4</v>
      </c>
      <c r="J8" s="3"/>
      <c r="K8" s="3"/>
      <c r="M8" s="5" t="b">
        <v>1</v>
      </c>
      <c r="N8" s="5" t="b">
        <v>0</v>
      </c>
      <c r="O8" s="5" t="b">
        <v>1</v>
      </c>
      <c r="P8" t="s">
        <v>30</v>
      </c>
      <c r="Q8" t="s">
        <v>4</v>
      </c>
      <c r="R8" t="s">
        <v>30</v>
      </c>
      <c r="S8" t="s">
        <v>4</v>
      </c>
    </row>
    <row r="9" spans="1:19" x14ac:dyDescent="0.25">
      <c r="A9" s="1">
        <v>7</v>
      </c>
      <c r="B9" t="s">
        <v>48</v>
      </c>
      <c r="C9" t="s">
        <v>4</v>
      </c>
      <c r="D9" t="s">
        <v>6</v>
      </c>
      <c r="E9" t="s">
        <v>4</v>
      </c>
      <c r="G9" t="s">
        <v>6</v>
      </c>
      <c r="I9" t="s">
        <v>4</v>
      </c>
      <c r="J9" s="3"/>
      <c r="K9" s="3"/>
      <c r="M9" s="5" t="b">
        <v>0</v>
      </c>
      <c r="N9" s="5" t="b">
        <v>1</v>
      </c>
      <c r="O9" s="5" t="b">
        <v>0</v>
      </c>
      <c r="P9" t="s">
        <v>4</v>
      </c>
      <c r="Q9" t="s">
        <v>30</v>
      </c>
      <c r="R9" t="s">
        <v>4</v>
      </c>
      <c r="S9" t="s">
        <v>4</v>
      </c>
    </row>
    <row r="10" spans="1:19" x14ac:dyDescent="0.25">
      <c r="A10" s="1">
        <v>8</v>
      </c>
      <c r="B10" t="s">
        <v>49</v>
      </c>
      <c r="C10" t="s">
        <v>4</v>
      </c>
      <c r="D10" t="s">
        <v>4</v>
      </c>
      <c r="E10" t="s">
        <v>4</v>
      </c>
      <c r="G10" t="s">
        <v>4</v>
      </c>
      <c r="I10" t="s">
        <v>4</v>
      </c>
      <c r="J10" s="3"/>
      <c r="K10" s="3"/>
      <c r="M10" s="5" t="b">
        <v>0</v>
      </c>
      <c r="N10" s="5" t="b">
        <v>0</v>
      </c>
      <c r="O10" s="5" t="b">
        <v>0</v>
      </c>
      <c r="P10" t="s">
        <v>4</v>
      </c>
      <c r="Q10" t="s">
        <v>4</v>
      </c>
      <c r="R10" t="s">
        <v>4</v>
      </c>
      <c r="S10" t="s">
        <v>4</v>
      </c>
    </row>
    <row r="11" spans="1:19" x14ac:dyDescent="0.25">
      <c r="A11" s="1">
        <v>9</v>
      </c>
      <c r="B11" t="s">
        <v>50</v>
      </c>
      <c r="C11" t="s">
        <v>4</v>
      </c>
      <c r="D11" t="s">
        <v>4</v>
      </c>
      <c r="E11" t="s">
        <v>4</v>
      </c>
      <c r="G11" t="s">
        <v>4</v>
      </c>
      <c r="I11" t="s">
        <v>4</v>
      </c>
      <c r="J11" s="3"/>
      <c r="K11" s="3"/>
      <c r="M11" s="5" t="b">
        <v>0</v>
      </c>
      <c r="N11" s="5" t="b">
        <v>0</v>
      </c>
      <c r="O11" s="5" t="b">
        <v>0</v>
      </c>
      <c r="P11" t="s">
        <v>4</v>
      </c>
      <c r="Q11" t="s">
        <v>4</v>
      </c>
      <c r="R11" t="s">
        <v>4</v>
      </c>
      <c r="S11" t="s">
        <v>4</v>
      </c>
    </row>
    <row r="12" spans="1:19" x14ac:dyDescent="0.25">
      <c r="A12" s="1">
        <v>10</v>
      </c>
      <c r="B12" t="s">
        <v>51</v>
      </c>
      <c r="C12" t="s">
        <v>4</v>
      </c>
      <c r="D12" t="s">
        <v>4</v>
      </c>
      <c r="E12" t="s">
        <v>4</v>
      </c>
      <c r="G12" t="s">
        <v>4</v>
      </c>
      <c r="I12" t="s">
        <v>4</v>
      </c>
      <c r="J12" s="3"/>
      <c r="K12" s="3"/>
      <c r="M12" s="5" t="b">
        <v>0</v>
      </c>
      <c r="N12" s="5" t="b">
        <v>0</v>
      </c>
      <c r="O12" s="5" t="b">
        <v>0</v>
      </c>
      <c r="P12" t="s">
        <v>4</v>
      </c>
      <c r="Q12" t="s">
        <v>4</v>
      </c>
      <c r="R12" t="s">
        <v>4</v>
      </c>
      <c r="S12" t="s">
        <v>4</v>
      </c>
    </row>
    <row r="13" spans="1:19" x14ac:dyDescent="0.25">
      <c r="A13"/>
      <c r="F13"/>
    </row>
    <row r="15" spans="1:19" x14ac:dyDescent="0.25">
      <c r="B15" s="1" t="s">
        <v>25</v>
      </c>
      <c r="C15">
        <f>COUNTIF(C3:C13,"f")</f>
        <v>3</v>
      </c>
      <c r="D15" s="3"/>
      <c r="E15" s="3"/>
      <c r="F15" s="1" t="s">
        <v>68</v>
      </c>
      <c r="G15">
        <f>COUNTIF(G3:G13,"p")+COUNTIF(G3:G13,"x")</f>
        <v>5</v>
      </c>
      <c r="I15">
        <f>COUNTIF(I3:I13,"p")+COUNTIF(I3:I13,"x")</f>
        <v>10</v>
      </c>
      <c r="J15">
        <v>0</v>
      </c>
      <c r="K15" s="3"/>
      <c r="P15">
        <f>COUNTIF(P3:P13,"f")</f>
        <v>0</v>
      </c>
      <c r="Q15" s="3"/>
      <c r="R15" s="3"/>
      <c r="S15">
        <f>COUNTIF(S3:S13,"p")+COUNTIF(S3:S13,"x")</f>
        <v>10</v>
      </c>
    </row>
    <row r="16" spans="1:19" x14ac:dyDescent="0.25">
      <c r="B16" s="1" t="s">
        <v>26</v>
      </c>
      <c r="C16" s="3"/>
      <c r="D16">
        <f>COUNTIF(D3:D13,"f")</f>
        <v>2</v>
      </c>
      <c r="E16" s="3"/>
      <c r="F16" s="1" t="s">
        <v>69</v>
      </c>
      <c r="G16">
        <f>COUNTIF(G3:G13,"f")</f>
        <v>5</v>
      </c>
      <c r="I16">
        <f>COUNTIF(I3:I13,"f")</f>
        <v>0</v>
      </c>
      <c r="J16" s="3"/>
      <c r="K16">
        <v>0</v>
      </c>
      <c r="P16" s="3"/>
      <c r="Q16">
        <f>COUNTIF(Q3:Q13,"f")</f>
        <v>0</v>
      </c>
      <c r="R16" s="3"/>
      <c r="S16">
        <f>COUNTIF(S3:S13,"f")</f>
        <v>0</v>
      </c>
    </row>
    <row r="17" spans="2:18" x14ac:dyDescent="0.25">
      <c r="B17" s="1" t="s">
        <v>27</v>
      </c>
      <c r="C17">
        <f>COUNTIF(C3:C13,"p")</f>
        <v>7</v>
      </c>
      <c r="D17" s="3"/>
      <c r="E17" s="3"/>
      <c r="F17" s="1" t="s">
        <v>67</v>
      </c>
      <c r="G17" s="1" t="s">
        <v>52</v>
      </c>
      <c r="I17" s="1" t="s">
        <v>52</v>
      </c>
      <c r="J17">
        <v>0</v>
      </c>
      <c r="K17" s="3"/>
      <c r="P17">
        <f>COUNTIF(P3:P13,"p")</f>
        <v>6</v>
      </c>
      <c r="Q17" s="3"/>
      <c r="R17" s="3"/>
    </row>
    <row r="18" spans="2:18" x14ac:dyDescent="0.25">
      <c r="B18" s="1" t="s">
        <v>28</v>
      </c>
      <c r="C18" s="3"/>
      <c r="D18">
        <f>COUNTIF(D3:D13,"p")</f>
        <v>8</v>
      </c>
      <c r="E18" s="3"/>
      <c r="F18" s="1" t="s">
        <v>66</v>
      </c>
      <c r="G18" s="1" t="s">
        <v>52</v>
      </c>
      <c r="I18" s="1" t="s">
        <v>52</v>
      </c>
      <c r="J18" s="3"/>
      <c r="K18">
        <v>0</v>
      </c>
      <c r="P18" s="3"/>
      <c r="Q18">
        <f>COUNTIF(Q3:Q13,"p")</f>
        <v>7</v>
      </c>
      <c r="R18" s="3"/>
    </row>
    <row r="19" spans="2:18" ht="30" x14ac:dyDescent="0.25">
      <c r="B19" s="4" t="s">
        <v>41</v>
      </c>
      <c r="C19" s="3"/>
      <c r="D19" s="3"/>
      <c r="E19" s="3"/>
      <c r="F19" s="4" t="s">
        <v>63</v>
      </c>
      <c r="G19" s="3"/>
      <c r="I19" s="3"/>
      <c r="J19" s="3"/>
      <c r="K19" s="3"/>
      <c r="P19" s="3"/>
      <c r="Q19" s="3"/>
      <c r="R19" s="3"/>
    </row>
  </sheetData>
  <mergeCells count="1">
    <mergeCell ref="C1:E1"/>
  </mergeCells>
  <phoneticPr fontId="3" type="noConversion"/>
  <conditionalFormatting sqref="C3:E12">
    <cfRule type="cellIs" dxfId="69" priority="11" operator="notEqual">
      <formula>"p"</formula>
    </cfRule>
    <cfRule type="cellIs" dxfId="68" priority="12" operator="equal">
      <formula>"p"</formula>
    </cfRule>
  </conditionalFormatting>
  <conditionalFormatting sqref="G3:G12">
    <cfRule type="cellIs" dxfId="67" priority="9" operator="equal">
      <formula>"p"</formula>
    </cfRule>
    <cfRule type="cellIs" dxfId="66" priority="10" operator="notEqual">
      <formula>"p"</formula>
    </cfRule>
  </conditionalFormatting>
  <conditionalFormatting sqref="I3:I12">
    <cfRule type="cellIs" dxfId="65" priority="6" operator="equal">
      <formula>"x"</formula>
    </cfRule>
    <cfRule type="cellIs" dxfId="64" priority="7" operator="equal">
      <formula>"p"</formula>
    </cfRule>
    <cfRule type="cellIs" dxfId="63" priority="8" operator="notEqual">
      <formula>"p"</formula>
    </cfRule>
  </conditionalFormatting>
  <conditionalFormatting sqref="M3:O12">
    <cfRule type="cellIs" dxfId="62" priority="4" operator="equal">
      <formula>TRUE</formula>
    </cfRule>
    <cfRule type="cellIs" dxfId="61" priority="5" operator="equal">
      <formula>FALSE</formula>
    </cfRule>
  </conditionalFormatting>
  <conditionalFormatting sqref="S3:S12">
    <cfRule type="cellIs" dxfId="60" priority="1" operator="equal">
      <formula>"f"</formula>
    </cfRule>
    <cfRule type="cellIs" dxfId="59" priority="2" operator="equal">
      <formula>"p"</formula>
    </cfRule>
    <cfRule type="cellIs" dxfId="58" priority="3" operator="equal">
      <formula>"x"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739D-D216-4374-A2B4-A5D7C3AF7EAE}">
  <dimension ref="A1:O24"/>
  <sheetViews>
    <sheetView showGridLines="0" tabSelected="1" zoomScale="190" zoomScaleNormal="190" workbookViewId="0">
      <selection activeCell="A26" sqref="A26"/>
    </sheetView>
  </sheetViews>
  <sheetFormatPr defaultRowHeight="15" x14ac:dyDescent="0.25"/>
  <cols>
    <col min="1" max="1" width="5.7109375" style="1" customWidth="1"/>
    <col min="2" max="2" width="6.85546875" bestFit="1" customWidth="1"/>
    <col min="3" max="5" width="10.28515625" customWidth="1"/>
    <col min="6" max="6" width="5.7109375" customWidth="1"/>
    <col min="7" max="8" width="10.28515625" customWidth="1"/>
    <col min="9" max="9" width="10.28515625" style="1" customWidth="1"/>
    <col min="10" max="10" width="5.7109375" customWidth="1"/>
    <col min="11" max="13" width="10.28515625" customWidth="1"/>
    <col min="14" max="14" width="5.7109375" customWidth="1"/>
    <col min="16" max="16" width="5.7109375" customWidth="1"/>
  </cols>
  <sheetData>
    <row r="1" spans="1:15" x14ac:dyDescent="0.25">
      <c r="C1" s="11" t="s">
        <v>37</v>
      </c>
      <c r="D1" s="11"/>
      <c r="E1" s="11"/>
      <c r="G1" s="11" t="s">
        <v>60</v>
      </c>
      <c r="H1" s="11"/>
      <c r="I1" s="11"/>
      <c r="K1" s="11" t="s">
        <v>55</v>
      </c>
      <c r="L1" s="11"/>
      <c r="M1" s="11"/>
      <c r="O1" s="14" t="s">
        <v>36</v>
      </c>
    </row>
    <row r="2" spans="1:15" s="7" customFormat="1" ht="45" customHeight="1" x14ac:dyDescent="0.25">
      <c r="A2" s="4" t="s">
        <v>24</v>
      </c>
      <c r="B2" s="7" t="s">
        <v>0</v>
      </c>
      <c r="C2" s="8" t="s">
        <v>61</v>
      </c>
      <c r="D2" s="8" t="s">
        <v>62</v>
      </c>
      <c r="E2" s="8" t="s">
        <v>59</v>
      </c>
      <c r="F2" s="8"/>
      <c r="G2" s="8" t="s">
        <v>56</v>
      </c>
      <c r="H2" s="8" t="s">
        <v>57</v>
      </c>
      <c r="I2" s="8" t="s">
        <v>58</v>
      </c>
      <c r="J2"/>
      <c r="K2" s="7" t="s">
        <v>61</v>
      </c>
      <c r="L2" s="7" t="s">
        <v>62</v>
      </c>
      <c r="M2" s="8" t="s">
        <v>59</v>
      </c>
      <c r="N2"/>
      <c r="O2" s="14"/>
    </row>
    <row r="3" spans="1:15" x14ac:dyDescent="0.25">
      <c r="A3" s="1">
        <v>1</v>
      </c>
      <c r="B3" t="s">
        <v>42</v>
      </c>
      <c r="C3" t="s">
        <v>4</v>
      </c>
      <c r="D3" t="s">
        <v>4</v>
      </c>
      <c r="E3" t="s">
        <v>4</v>
      </c>
      <c r="G3" s="5" t="b">
        <v>0</v>
      </c>
      <c r="H3" s="5" t="b">
        <v>0</v>
      </c>
      <c r="I3" s="5" t="b">
        <v>0</v>
      </c>
      <c r="K3" t="str">
        <f>IF(G3=TRUE, "x", C3)</f>
        <v>p</v>
      </c>
      <c r="L3" t="str">
        <f>IF(H3=TRUE, "x", D3)</f>
        <v>p</v>
      </c>
      <c r="M3" t="str">
        <f>IF(I3=TRUE, "x", E3)</f>
        <v>p</v>
      </c>
      <c r="O3" t="str">
        <f>IF(OR(K3="f", L3="f", M3="f"), "f", "p")</f>
        <v>p</v>
      </c>
    </row>
    <row r="4" spans="1:15" x14ac:dyDescent="0.25">
      <c r="A4" s="1">
        <v>2</v>
      </c>
      <c r="B4" t="s">
        <v>43</v>
      </c>
      <c r="C4" t="s">
        <v>6</v>
      </c>
      <c r="D4" t="s">
        <v>4</v>
      </c>
      <c r="E4" t="s">
        <v>6</v>
      </c>
      <c r="G4" s="5" t="b">
        <v>0</v>
      </c>
      <c r="H4" s="5" t="b">
        <v>0</v>
      </c>
      <c r="I4" s="5" t="b">
        <v>0</v>
      </c>
      <c r="K4" t="str">
        <f t="shared" ref="K4:K12" si="0">IF(G4=TRUE, "x", C4)</f>
        <v>f</v>
      </c>
      <c r="L4" t="str">
        <f t="shared" ref="L4:L12" si="1">IF(H4=TRUE, "x", D4)</f>
        <v>p</v>
      </c>
      <c r="M4" t="str">
        <f t="shared" ref="M4:M12" si="2">IF(I4=TRUE, "x", E4)</f>
        <v>f</v>
      </c>
      <c r="O4" t="str">
        <f t="shared" ref="O4:O12" si="3">IF(OR(K4="f", L4="f", M4="f"), "f", "p")</f>
        <v>f</v>
      </c>
    </row>
    <row r="5" spans="1:15" x14ac:dyDescent="0.25">
      <c r="A5" s="1">
        <v>3</v>
      </c>
      <c r="B5" t="s">
        <v>44</v>
      </c>
      <c r="C5" t="s">
        <v>4</v>
      </c>
      <c r="D5" t="s">
        <v>4</v>
      </c>
      <c r="E5" t="s">
        <v>4</v>
      </c>
      <c r="G5" s="5" t="b">
        <v>0</v>
      </c>
      <c r="H5" s="5" t="b">
        <v>0</v>
      </c>
      <c r="I5" s="5" t="b">
        <v>0</v>
      </c>
      <c r="K5" t="str">
        <f t="shared" si="0"/>
        <v>p</v>
      </c>
      <c r="L5" t="str">
        <f t="shared" si="1"/>
        <v>p</v>
      </c>
      <c r="M5" t="str">
        <f t="shared" si="2"/>
        <v>p</v>
      </c>
      <c r="O5" t="str">
        <f t="shared" si="3"/>
        <v>p</v>
      </c>
    </row>
    <row r="6" spans="1:15" x14ac:dyDescent="0.25">
      <c r="A6" s="1">
        <v>4</v>
      </c>
      <c r="B6" t="s">
        <v>45</v>
      </c>
      <c r="C6" t="s">
        <v>4</v>
      </c>
      <c r="D6" t="s">
        <v>6</v>
      </c>
      <c r="E6" t="s">
        <v>4</v>
      </c>
      <c r="G6" s="5" t="b">
        <v>0</v>
      </c>
      <c r="H6" s="5" t="b">
        <v>0</v>
      </c>
      <c r="I6" s="5" t="b">
        <v>0</v>
      </c>
      <c r="K6" t="str">
        <f t="shared" si="0"/>
        <v>p</v>
      </c>
      <c r="L6" t="str">
        <f t="shared" si="1"/>
        <v>f</v>
      </c>
      <c r="M6" t="str">
        <f t="shared" si="2"/>
        <v>p</v>
      </c>
      <c r="O6" t="str">
        <f t="shared" si="3"/>
        <v>f</v>
      </c>
    </row>
    <row r="7" spans="1:15" x14ac:dyDescent="0.25">
      <c r="A7" s="1">
        <v>5</v>
      </c>
      <c r="B7" t="s">
        <v>46</v>
      </c>
      <c r="C7" t="s">
        <v>6</v>
      </c>
      <c r="D7" t="s">
        <v>4</v>
      </c>
      <c r="E7" t="s">
        <v>6</v>
      </c>
      <c r="G7" s="5" t="b">
        <v>0</v>
      </c>
      <c r="H7" s="5" t="b">
        <v>0</v>
      </c>
      <c r="I7" s="5" t="b">
        <v>0</v>
      </c>
      <c r="K7" t="str">
        <f t="shared" si="0"/>
        <v>f</v>
      </c>
      <c r="L7" t="str">
        <f t="shared" si="1"/>
        <v>p</v>
      </c>
      <c r="M7" t="str">
        <f t="shared" si="2"/>
        <v>f</v>
      </c>
      <c r="O7" t="str">
        <f t="shared" si="3"/>
        <v>f</v>
      </c>
    </row>
    <row r="8" spans="1:15" x14ac:dyDescent="0.25">
      <c r="A8" s="1">
        <v>6</v>
      </c>
      <c r="B8" t="s">
        <v>47</v>
      </c>
      <c r="C8" t="s">
        <v>6</v>
      </c>
      <c r="D8" t="s">
        <v>4</v>
      </c>
      <c r="E8" t="s">
        <v>6</v>
      </c>
      <c r="G8" s="5" t="b">
        <v>0</v>
      </c>
      <c r="H8" s="5" t="b">
        <v>0</v>
      </c>
      <c r="I8" s="5" t="b">
        <v>0</v>
      </c>
      <c r="K8" t="str">
        <f t="shared" si="0"/>
        <v>f</v>
      </c>
      <c r="L8" t="str">
        <f t="shared" si="1"/>
        <v>p</v>
      </c>
      <c r="M8" t="str">
        <f t="shared" si="2"/>
        <v>f</v>
      </c>
      <c r="O8" t="str">
        <f t="shared" si="3"/>
        <v>f</v>
      </c>
    </row>
    <row r="9" spans="1:15" x14ac:dyDescent="0.25">
      <c r="A9" s="1">
        <v>7</v>
      </c>
      <c r="B9" t="s">
        <v>48</v>
      </c>
      <c r="C9" t="s">
        <v>4</v>
      </c>
      <c r="D9" t="s">
        <v>6</v>
      </c>
      <c r="E9" t="s">
        <v>4</v>
      </c>
      <c r="G9" s="5" t="b">
        <v>0</v>
      </c>
      <c r="H9" s="5" t="b">
        <v>0</v>
      </c>
      <c r="I9" s="5" t="b">
        <v>0</v>
      </c>
      <c r="K9" t="str">
        <f t="shared" si="0"/>
        <v>p</v>
      </c>
      <c r="L9" t="str">
        <f t="shared" si="1"/>
        <v>f</v>
      </c>
      <c r="M9" t="str">
        <f t="shared" si="2"/>
        <v>p</v>
      </c>
      <c r="O9" t="str">
        <f t="shared" si="3"/>
        <v>f</v>
      </c>
    </row>
    <row r="10" spans="1:15" x14ac:dyDescent="0.25">
      <c r="A10" s="1">
        <v>8</v>
      </c>
      <c r="B10" t="s">
        <v>49</v>
      </c>
      <c r="C10" t="s">
        <v>4</v>
      </c>
      <c r="D10" t="s">
        <v>4</v>
      </c>
      <c r="E10" t="s">
        <v>4</v>
      </c>
      <c r="G10" s="5" t="b">
        <v>0</v>
      </c>
      <c r="H10" s="5" t="b">
        <v>0</v>
      </c>
      <c r="I10" s="5" t="b">
        <v>0</v>
      </c>
      <c r="K10" t="str">
        <f t="shared" si="0"/>
        <v>p</v>
      </c>
      <c r="L10" t="str">
        <f t="shared" si="1"/>
        <v>p</v>
      </c>
      <c r="M10" t="str">
        <f t="shared" si="2"/>
        <v>p</v>
      </c>
      <c r="O10" t="str">
        <f t="shared" si="3"/>
        <v>p</v>
      </c>
    </row>
    <row r="11" spans="1:15" x14ac:dyDescent="0.25">
      <c r="A11" s="1">
        <v>9</v>
      </c>
      <c r="B11" t="s">
        <v>50</v>
      </c>
      <c r="C11" t="s">
        <v>4</v>
      </c>
      <c r="D11" t="s">
        <v>4</v>
      </c>
      <c r="E11" t="s">
        <v>4</v>
      </c>
      <c r="G11" s="5" t="b">
        <v>0</v>
      </c>
      <c r="H11" s="5" t="b">
        <v>0</v>
      </c>
      <c r="I11" s="5" t="b">
        <v>0</v>
      </c>
      <c r="K11" t="str">
        <f t="shared" si="0"/>
        <v>p</v>
      </c>
      <c r="L11" t="str">
        <f t="shared" si="1"/>
        <v>p</v>
      </c>
      <c r="M11" t="str">
        <f t="shared" si="2"/>
        <v>p</v>
      </c>
      <c r="O11" t="str">
        <f t="shared" si="3"/>
        <v>p</v>
      </c>
    </row>
    <row r="12" spans="1:15" x14ac:dyDescent="0.25">
      <c r="A12" s="1">
        <v>10</v>
      </c>
      <c r="B12" t="s">
        <v>51</v>
      </c>
      <c r="C12" t="s">
        <v>4</v>
      </c>
      <c r="D12" t="s">
        <v>4</v>
      </c>
      <c r="E12" t="s">
        <v>4</v>
      </c>
      <c r="G12" s="5" t="b">
        <v>0</v>
      </c>
      <c r="H12" s="5" t="b">
        <v>0</v>
      </c>
      <c r="I12" s="5" t="b">
        <v>0</v>
      </c>
      <c r="K12" t="str">
        <f t="shared" si="0"/>
        <v>p</v>
      </c>
      <c r="L12" t="str">
        <f t="shared" si="1"/>
        <v>p</v>
      </c>
      <c r="M12" t="str">
        <f t="shared" si="2"/>
        <v>p</v>
      </c>
      <c r="O12" t="str">
        <f t="shared" si="3"/>
        <v>p</v>
      </c>
    </row>
    <row r="13" spans="1:15" ht="9.9499999999999993" customHeight="1" x14ac:dyDescent="0.25">
      <c r="A13"/>
      <c r="I13"/>
    </row>
    <row r="14" spans="1:15" x14ac:dyDescent="0.25">
      <c r="I14"/>
      <c r="N14" s="1" t="s">
        <v>68</v>
      </c>
      <c r="O14" s="15">
        <f>COUNTIF(O3:O13,"p")+COUNTIF(O3:O13,"x")</f>
        <v>5</v>
      </c>
    </row>
    <row r="15" spans="1:15" x14ac:dyDescent="0.25">
      <c r="I15"/>
      <c r="N15" s="1" t="s">
        <v>69</v>
      </c>
      <c r="O15" s="15">
        <f>COUNTIF(O3:O13,"f")</f>
        <v>5</v>
      </c>
    </row>
    <row r="16" spans="1:15" x14ac:dyDescent="0.25">
      <c r="N16" s="1" t="s">
        <v>67</v>
      </c>
      <c r="O16" s="15" t="s">
        <v>52</v>
      </c>
    </row>
    <row r="17" spans="10:15" x14ac:dyDescent="0.25">
      <c r="N17" s="1" t="s">
        <v>66</v>
      </c>
      <c r="O17" s="15" t="s">
        <v>52</v>
      </c>
    </row>
    <row r="18" spans="10:15" x14ac:dyDescent="0.25">
      <c r="O18" s="1" t="s">
        <v>63</v>
      </c>
    </row>
    <row r="19" spans="10:15" ht="9.9499999999999993" customHeight="1" x14ac:dyDescent="0.25">
      <c r="N19" s="1"/>
      <c r="O19" s="2"/>
    </row>
    <row r="20" spans="10:15" x14ac:dyDescent="0.25">
      <c r="J20" s="1" t="s">
        <v>25</v>
      </c>
      <c r="K20" s="16">
        <f>COUNTIF(K3:K13,"f")</f>
        <v>3</v>
      </c>
      <c r="L20" s="3"/>
      <c r="M20" s="3"/>
      <c r="N20" s="4"/>
    </row>
    <row r="21" spans="10:15" x14ac:dyDescent="0.25">
      <c r="J21" s="1" t="s">
        <v>26</v>
      </c>
      <c r="K21" s="3"/>
      <c r="L21" s="16">
        <f>COUNTIF(L3:L13,"f")</f>
        <v>2</v>
      </c>
      <c r="M21" s="3"/>
    </row>
    <row r="22" spans="10:15" x14ac:dyDescent="0.25">
      <c r="J22" s="1" t="s">
        <v>27</v>
      </c>
      <c r="K22" s="16">
        <f>COUNTIF(K3:K13,"p")</f>
        <v>7</v>
      </c>
      <c r="L22" s="3"/>
      <c r="M22" s="3"/>
    </row>
    <row r="23" spans="10:15" x14ac:dyDescent="0.25">
      <c r="J23" s="1" t="s">
        <v>28</v>
      </c>
      <c r="K23" s="3"/>
      <c r="L23" s="16">
        <f>COUNTIF(L3:L13,"p")</f>
        <v>8</v>
      </c>
      <c r="M23" s="3"/>
    </row>
    <row r="24" spans="10:15" x14ac:dyDescent="0.25">
      <c r="M24" s="1" t="s">
        <v>41</v>
      </c>
    </row>
  </sheetData>
  <mergeCells count="4">
    <mergeCell ref="C1:E1"/>
    <mergeCell ref="G1:I1"/>
    <mergeCell ref="K1:M1"/>
    <mergeCell ref="O1:O2"/>
  </mergeCells>
  <conditionalFormatting sqref="C3:E12">
    <cfRule type="cellIs" dxfId="57" priority="25" operator="notEqual">
      <formula>"p"</formula>
    </cfRule>
    <cfRule type="cellIs" dxfId="56" priority="26" operator="equal">
      <formula>"p"</formula>
    </cfRule>
  </conditionalFormatting>
  <conditionalFormatting sqref="G3:I12">
    <cfRule type="cellIs" dxfId="55" priority="13" operator="equal">
      <formula>TRUE</formula>
    </cfRule>
    <cfRule type="cellIs" dxfId="54" priority="14" operator="equal">
      <formula>FALSE</formula>
    </cfRule>
  </conditionalFormatting>
  <conditionalFormatting sqref="K3:M12">
    <cfRule type="cellIs" dxfId="47" priority="4" operator="equal">
      <formula>"x"</formula>
    </cfRule>
    <cfRule type="cellIs" dxfId="46" priority="5" operator="equal">
      <formula>"p"</formula>
    </cfRule>
    <cfRule type="cellIs" dxfId="45" priority="6" operator="notEqual">
      <formula>"p"</formula>
    </cfRule>
  </conditionalFormatting>
  <conditionalFormatting sqref="O3:O12">
    <cfRule type="cellIs" dxfId="8" priority="1" operator="equal">
      <formula>"x"</formula>
    </cfRule>
    <cfRule type="cellIs" dxfId="7" priority="2" operator="equal">
      <formula>"p"</formula>
    </cfRule>
    <cfRule type="cellIs" dxfId="6" priority="3" operator="notEqual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6B03-ED23-43EE-95C9-5BEDEF5C7291}">
  <dimension ref="A1:O24"/>
  <sheetViews>
    <sheetView showGridLines="0" zoomScale="190" zoomScaleNormal="190" workbookViewId="0">
      <selection activeCell="A26" sqref="A26"/>
    </sheetView>
  </sheetViews>
  <sheetFormatPr defaultRowHeight="15" x14ac:dyDescent="0.25"/>
  <cols>
    <col min="1" max="1" width="5.7109375" style="1" customWidth="1"/>
    <col min="2" max="2" width="6.85546875" bestFit="1" customWidth="1"/>
    <col min="3" max="5" width="10.28515625" customWidth="1"/>
    <col min="6" max="6" width="5.7109375" customWidth="1"/>
    <col min="7" max="8" width="10.28515625" customWidth="1"/>
    <col min="9" max="9" width="10.28515625" style="1" customWidth="1"/>
    <col min="10" max="10" width="5.7109375" customWidth="1"/>
    <col min="11" max="13" width="10.28515625" customWidth="1"/>
    <col min="14" max="14" width="5.7109375" customWidth="1"/>
    <col min="16" max="16" width="5.7109375" customWidth="1"/>
  </cols>
  <sheetData>
    <row r="1" spans="1:15" x14ac:dyDescent="0.25">
      <c r="C1" s="11" t="s">
        <v>37</v>
      </c>
      <c r="D1" s="11"/>
      <c r="E1" s="11"/>
      <c r="G1" s="11" t="s">
        <v>64</v>
      </c>
      <c r="H1" s="11"/>
      <c r="I1" s="11"/>
      <c r="K1" s="11" t="s">
        <v>55</v>
      </c>
      <c r="L1" s="11"/>
      <c r="M1" s="11"/>
      <c r="O1" s="14" t="s">
        <v>36</v>
      </c>
    </row>
    <row r="2" spans="1:15" s="7" customFormat="1" ht="45" customHeight="1" x14ac:dyDescent="0.25">
      <c r="A2" s="4" t="s">
        <v>24</v>
      </c>
      <c r="B2" s="7" t="s">
        <v>0</v>
      </c>
      <c r="C2" s="8" t="s">
        <v>61</v>
      </c>
      <c r="D2" s="8" t="s">
        <v>62</v>
      </c>
      <c r="E2" s="8" t="s">
        <v>59</v>
      </c>
      <c r="F2" s="8"/>
      <c r="G2" s="8" t="s">
        <v>56</v>
      </c>
      <c r="H2" s="8" t="s">
        <v>57</v>
      </c>
      <c r="I2" s="8" t="s">
        <v>58</v>
      </c>
      <c r="J2"/>
      <c r="K2" s="7" t="s">
        <v>61</v>
      </c>
      <c r="L2" s="7" t="s">
        <v>62</v>
      </c>
      <c r="M2" s="8" t="s">
        <v>59</v>
      </c>
      <c r="N2"/>
      <c r="O2" s="14"/>
    </row>
    <row r="3" spans="1:15" x14ac:dyDescent="0.25">
      <c r="A3" s="1">
        <v>1</v>
      </c>
      <c r="B3" t="s">
        <v>42</v>
      </c>
      <c r="C3" t="s">
        <v>4</v>
      </c>
      <c r="D3" t="s">
        <v>4</v>
      </c>
      <c r="E3" t="s">
        <v>4</v>
      </c>
      <c r="G3" s="5" t="b">
        <v>1</v>
      </c>
      <c r="H3" s="5" t="b">
        <v>1</v>
      </c>
      <c r="I3" s="5" t="b">
        <v>1</v>
      </c>
      <c r="K3" t="str">
        <f>IF(G3=TRUE, "x", C3)</f>
        <v>x</v>
      </c>
      <c r="L3" t="str">
        <f>IF(H3=TRUE, "x", D3)</f>
        <v>x</v>
      </c>
      <c r="M3" t="str">
        <f>IF(I3=TRUE, "x", E3)</f>
        <v>x</v>
      </c>
      <c r="O3" t="str">
        <f>IF(OR(K3="f", L3="f", M3="f"), "f", "p")</f>
        <v>p</v>
      </c>
    </row>
    <row r="4" spans="1:15" x14ac:dyDescent="0.25">
      <c r="A4" s="1">
        <v>2</v>
      </c>
      <c r="B4" t="s">
        <v>43</v>
      </c>
      <c r="C4" t="s">
        <v>6</v>
      </c>
      <c r="D4" t="s">
        <v>4</v>
      </c>
      <c r="E4" t="s">
        <v>6</v>
      </c>
      <c r="G4" s="5" t="b">
        <v>1</v>
      </c>
      <c r="H4" s="5" t="b">
        <v>1</v>
      </c>
      <c r="I4" s="5" t="b">
        <v>1</v>
      </c>
      <c r="K4" t="str">
        <f t="shared" ref="K4:K12" si="0">IF(G4=TRUE, "x", C4)</f>
        <v>x</v>
      </c>
      <c r="L4" t="str">
        <f t="shared" ref="L4:L12" si="1">IF(H4=TRUE, "x", D4)</f>
        <v>x</v>
      </c>
      <c r="M4" t="str">
        <f t="shared" ref="M4:M12" si="2">IF(I4=TRUE, "x", E4)</f>
        <v>x</v>
      </c>
      <c r="O4" t="str">
        <f t="shared" ref="O4:O12" si="3">IF(OR(K4="f", L4="f", M4="f"), "f", "p")</f>
        <v>p</v>
      </c>
    </row>
    <row r="5" spans="1:15" x14ac:dyDescent="0.25">
      <c r="A5" s="1">
        <v>3</v>
      </c>
      <c r="B5" t="s">
        <v>44</v>
      </c>
      <c r="C5" t="s">
        <v>4</v>
      </c>
      <c r="D5" t="s">
        <v>4</v>
      </c>
      <c r="E5" t="s">
        <v>4</v>
      </c>
      <c r="G5" s="5" t="b">
        <v>1</v>
      </c>
      <c r="H5" s="5" t="b">
        <v>1</v>
      </c>
      <c r="I5" s="5" t="b">
        <v>1</v>
      </c>
      <c r="K5" t="str">
        <f t="shared" si="0"/>
        <v>x</v>
      </c>
      <c r="L5" t="str">
        <f t="shared" si="1"/>
        <v>x</v>
      </c>
      <c r="M5" t="str">
        <f t="shared" si="2"/>
        <v>x</v>
      </c>
      <c r="O5" t="str">
        <f t="shared" si="3"/>
        <v>p</v>
      </c>
    </row>
    <row r="6" spans="1:15" x14ac:dyDescent="0.25">
      <c r="A6" s="1">
        <v>4</v>
      </c>
      <c r="B6" t="s">
        <v>45</v>
      </c>
      <c r="C6" t="s">
        <v>4</v>
      </c>
      <c r="D6" t="s">
        <v>6</v>
      </c>
      <c r="E6" t="s">
        <v>4</v>
      </c>
      <c r="G6" s="5" t="b">
        <v>1</v>
      </c>
      <c r="H6" s="5" t="b">
        <v>1</v>
      </c>
      <c r="I6" s="5" t="b">
        <v>1</v>
      </c>
      <c r="K6" t="str">
        <f t="shared" si="0"/>
        <v>x</v>
      </c>
      <c r="L6" t="str">
        <f t="shared" si="1"/>
        <v>x</v>
      </c>
      <c r="M6" t="str">
        <f t="shared" si="2"/>
        <v>x</v>
      </c>
      <c r="O6" t="str">
        <f t="shared" si="3"/>
        <v>p</v>
      </c>
    </row>
    <row r="7" spans="1:15" x14ac:dyDescent="0.25">
      <c r="A7" s="1">
        <v>5</v>
      </c>
      <c r="B7" t="s">
        <v>46</v>
      </c>
      <c r="C7" t="s">
        <v>6</v>
      </c>
      <c r="D7" t="s">
        <v>4</v>
      </c>
      <c r="E7" t="s">
        <v>6</v>
      </c>
      <c r="G7" s="5" t="b">
        <v>1</v>
      </c>
      <c r="H7" s="5" t="b">
        <v>1</v>
      </c>
      <c r="I7" s="5" t="b">
        <v>1</v>
      </c>
      <c r="K7" t="str">
        <f t="shared" si="0"/>
        <v>x</v>
      </c>
      <c r="L7" t="str">
        <f t="shared" si="1"/>
        <v>x</v>
      </c>
      <c r="M7" t="str">
        <f t="shared" si="2"/>
        <v>x</v>
      </c>
      <c r="O7" t="str">
        <f t="shared" si="3"/>
        <v>p</v>
      </c>
    </row>
    <row r="8" spans="1:15" x14ac:dyDescent="0.25">
      <c r="A8" s="1">
        <v>6</v>
      </c>
      <c r="B8" t="s">
        <v>47</v>
      </c>
      <c r="C8" t="s">
        <v>6</v>
      </c>
      <c r="D8" t="s">
        <v>4</v>
      </c>
      <c r="E8" t="s">
        <v>6</v>
      </c>
      <c r="G8" s="5" t="b">
        <v>1</v>
      </c>
      <c r="H8" s="5" t="b">
        <v>1</v>
      </c>
      <c r="I8" s="5" t="b">
        <v>1</v>
      </c>
      <c r="K8" t="str">
        <f t="shared" si="0"/>
        <v>x</v>
      </c>
      <c r="L8" t="str">
        <f t="shared" si="1"/>
        <v>x</v>
      </c>
      <c r="M8" t="str">
        <f t="shared" si="2"/>
        <v>x</v>
      </c>
      <c r="O8" t="str">
        <f t="shared" si="3"/>
        <v>p</v>
      </c>
    </row>
    <row r="9" spans="1:15" x14ac:dyDescent="0.25">
      <c r="A9" s="1">
        <v>7</v>
      </c>
      <c r="B9" t="s">
        <v>48</v>
      </c>
      <c r="C9" t="s">
        <v>4</v>
      </c>
      <c r="D9" t="s">
        <v>6</v>
      </c>
      <c r="E9" t="s">
        <v>4</v>
      </c>
      <c r="G9" s="5" t="b">
        <v>1</v>
      </c>
      <c r="H9" s="5" t="b">
        <v>1</v>
      </c>
      <c r="I9" s="5" t="b">
        <v>1</v>
      </c>
      <c r="K9" t="str">
        <f t="shared" si="0"/>
        <v>x</v>
      </c>
      <c r="L9" t="str">
        <f t="shared" si="1"/>
        <v>x</v>
      </c>
      <c r="M9" t="str">
        <f t="shared" si="2"/>
        <v>x</v>
      </c>
      <c r="O9" t="str">
        <f t="shared" si="3"/>
        <v>p</v>
      </c>
    </row>
    <row r="10" spans="1:15" x14ac:dyDescent="0.25">
      <c r="A10" s="1">
        <v>8</v>
      </c>
      <c r="B10" t="s">
        <v>49</v>
      </c>
      <c r="C10" t="s">
        <v>4</v>
      </c>
      <c r="D10" t="s">
        <v>4</v>
      </c>
      <c r="E10" t="s">
        <v>4</v>
      </c>
      <c r="G10" s="5" t="b">
        <v>1</v>
      </c>
      <c r="H10" s="5" t="b">
        <v>1</v>
      </c>
      <c r="I10" s="5" t="b">
        <v>1</v>
      </c>
      <c r="K10" t="str">
        <f t="shared" si="0"/>
        <v>x</v>
      </c>
      <c r="L10" t="str">
        <f t="shared" si="1"/>
        <v>x</v>
      </c>
      <c r="M10" t="str">
        <f t="shared" si="2"/>
        <v>x</v>
      </c>
      <c r="O10" t="str">
        <f t="shared" si="3"/>
        <v>p</v>
      </c>
    </row>
    <row r="11" spans="1:15" x14ac:dyDescent="0.25">
      <c r="A11" s="1">
        <v>9</v>
      </c>
      <c r="B11" t="s">
        <v>50</v>
      </c>
      <c r="C11" t="s">
        <v>4</v>
      </c>
      <c r="D11" t="s">
        <v>4</v>
      </c>
      <c r="E11" t="s">
        <v>4</v>
      </c>
      <c r="G11" s="5" t="b">
        <v>1</v>
      </c>
      <c r="H11" s="5" t="b">
        <v>1</v>
      </c>
      <c r="I11" s="5" t="b">
        <v>1</v>
      </c>
      <c r="K11" t="str">
        <f t="shared" si="0"/>
        <v>x</v>
      </c>
      <c r="L11" t="str">
        <f t="shared" si="1"/>
        <v>x</v>
      </c>
      <c r="M11" t="str">
        <f t="shared" si="2"/>
        <v>x</v>
      </c>
      <c r="O11" t="str">
        <f t="shared" si="3"/>
        <v>p</v>
      </c>
    </row>
    <row r="12" spans="1:15" x14ac:dyDescent="0.25">
      <c r="A12" s="1">
        <v>10</v>
      </c>
      <c r="B12" t="s">
        <v>51</v>
      </c>
      <c r="C12" t="s">
        <v>4</v>
      </c>
      <c r="D12" t="s">
        <v>4</v>
      </c>
      <c r="E12" t="s">
        <v>4</v>
      </c>
      <c r="G12" s="5" t="b">
        <v>1</v>
      </c>
      <c r="H12" s="5" t="b">
        <v>1</v>
      </c>
      <c r="I12" s="5" t="b">
        <v>1</v>
      </c>
      <c r="K12" t="str">
        <f t="shared" si="0"/>
        <v>x</v>
      </c>
      <c r="L12" t="str">
        <f t="shared" si="1"/>
        <v>x</v>
      </c>
      <c r="M12" t="str">
        <f t="shared" si="2"/>
        <v>x</v>
      </c>
      <c r="O12" t="str">
        <f t="shared" si="3"/>
        <v>p</v>
      </c>
    </row>
    <row r="13" spans="1:15" ht="9.9499999999999993" customHeight="1" x14ac:dyDescent="0.25">
      <c r="A13"/>
      <c r="I13"/>
    </row>
    <row r="14" spans="1:15" x14ac:dyDescent="0.25">
      <c r="I14"/>
      <c r="N14" s="1" t="s">
        <v>68</v>
      </c>
      <c r="O14" s="15">
        <f>COUNTIF(O3:O13,"p")+COUNTIF(O3:O13,"x")</f>
        <v>10</v>
      </c>
    </row>
    <row r="15" spans="1:15" x14ac:dyDescent="0.25">
      <c r="I15"/>
      <c r="N15" s="1" t="s">
        <v>69</v>
      </c>
      <c r="O15" s="15">
        <f>COUNTIF(O3:O13,"f")</f>
        <v>0</v>
      </c>
    </row>
    <row r="16" spans="1:15" x14ac:dyDescent="0.25">
      <c r="N16" s="1" t="s">
        <v>67</v>
      </c>
      <c r="O16" s="15" t="s">
        <v>52</v>
      </c>
    </row>
    <row r="17" spans="10:15" x14ac:dyDescent="0.25">
      <c r="N17" s="1" t="s">
        <v>66</v>
      </c>
      <c r="O17" s="15" t="s">
        <v>52</v>
      </c>
    </row>
    <row r="18" spans="10:15" x14ac:dyDescent="0.25">
      <c r="O18" s="1" t="s">
        <v>63</v>
      </c>
    </row>
    <row r="19" spans="10:15" ht="9.9499999999999993" customHeight="1" x14ac:dyDescent="0.25">
      <c r="N19" s="1"/>
      <c r="O19" s="2"/>
    </row>
    <row r="20" spans="10:15" x14ac:dyDescent="0.25">
      <c r="J20" s="1" t="s">
        <v>25</v>
      </c>
      <c r="K20" s="16">
        <f>COUNTIF(K3:K13,"f")</f>
        <v>0</v>
      </c>
      <c r="L20" s="3"/>
      <c r="M20" s="3"/>
      <c r="N20" s="4"/>
    </row>
    <row r="21" spans="10:15" x14ac:dyDescent="0.25">
      <c r="J21" s="1" t="s">
        <v>26</v>
      </c>
      <c r="K21" s="3"/>
      <c r="L21" s="16">
        <f>COUNTIF(L3:L13,"f")</f>
        <v>0</v>
      </c>
      <c r="M21" s="3"/>
    </row>
    <row r="22" spans="10:15" x14ac:dyDescent="0.25">
      <c r="J22" s="1" t="s">
        <v>27</v>
      </c>
      <c r="K22" s="16">
        <f>COUNTIF(K3:K13,"p")</f>
        <v>0</v>
      </c>
      <c r="L22" s="3"/>
      <c r="M22" s="3"/>
    </row>
    <row r="23" spans="10:15" x14ac:dyDescent="0.25">
      <c r="J23" s="1" t="s">
        <v>28</v>
      </c>
      <c r="K23" s="3"/>
      <c r="L23" s="16">
        <f>COUNTIF(L3:L13,"p")</f>
        <v>0</v>
      </c>
      <c r="M23" s="3"/>
    </row>
    <row r="24" spans="10:15" x14ac:dyDescent="0.25">
      <c r="M24" s="1" t="s">
        <v>41</v>
      </c>
    </row>
  </sheetData>
  <mergeCells count="4">
    <mergeCell ref="C1:E1"/>
    <mergeCell ref="G1:I1"/>
    <mergeCell ref="K1:M1"/>
    <mergeCell ref="O1:O2"/>
  </mergeCells>
  <conditionalFormatting sqref="C3:E12">
    <cfRule type="cellIs" dxfId="44" priority="23" operator="notEqual">
      <formula>"p"</formula>
    </cfRule>
    <cfRule type="cellIs" dxfId="43" priority="24" operator="equal">
      <formula>"p"</formula>
    </cfRule>
  </conditionalFormatting>
  <conditionalFormatting sqref="G3:I12">
    <cfRule type="cellIs" dxfId="34" priority="13" operator="equal">
      <formula>TRUE</formula>
    </cfRule>
    <cfRule type="cellIs" dxfId="33" priority="14" operator="equal">
      <formula>FALSE</formula>
    </cfRule>
  </conditionalFormatting>
  <conditionalFormatting sqref="K3:M12">
    <cfRule type="cellIs" dxfId="32" priority="10" operator="equal">
      <formula>"x"</formula>
    </cfRule>
    <cfRule type="cellIs" dxfId="31" priority="11" operator="equal">
      <formula>"p"</formula>
    </cfRule>
    <cfRule type="cellIs" dxfId="30" priority="12" operator="notEqual">
      <formula>"p"</formula>
    </cfRule>
  </conditionalFormatting>
  <conditionalFormatting sqref="O3:O12">
    <cfRule type="cellIs" dxfId="5" priority="1" operator="equal">
      <formula>"x"</formula>
    </cfRule>
    <cfRule type="cellIs" dxfId="4" priority="2" operator="equal">
      <formula>"p"</formula>
    </cfRule>
    <cfRule type="cellIs" dxfId="3" priority="3" operator="notEqual">
      <formula>"p"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4942-53C8-4708-ABA6-B47A063A2DB8}">
  <dimension ref="A1:O24"/>
  <sheetViews>
    <sheetView showGridLines="0" zoomScale="190" zoomScaleNormal="190" workbookViewId="0">
      <selection activeCell="A26" sqref="A26"/>
    </sheetView>
  </sheetViews>
  <sheetFormatPr defaultRowHeight="15" x14ac:dyDescent="0.25"/>
  <cols>
    <col min="1" max="1" width="5.7109375" style="1" customWidth="1"/>
    <col min="2" max="2" width="6.85546875" bestFit="1" customWidth="1"/>
    <col min="3" max="5" width="10.28515625" customWidth="1"/>
    <col min="6" max="6" width="5.7109375" customWidth="1"/>
    <col min="7" max="8" width="10.28515625" customWidth="1"/>
    <col min="9" max="9" width="10.28515625" style="1" customWidth="1"/>
    <col min="10" max="10" width="5.7109375" customWidth="1"/>
    <col min="11" max="13" width="10.28515625" customWidth="1"/>
    <col min="14" max="14" width="5.7109375" customWidth="1"/>
    <col min="16" max="16" width="5.7109375" customWidth="1"/>
  </cols>
  <sheetData>
    <row r="1" spans="1:15" x14ac:dyDescent="0.25">
      <c r="C1" s="11" t="s">
        <v>37</v>
      </c>
      <c r="D1" s="11"/>
      <c r="E1" s="11"/>
      <c r="G1" s="11" t="s">
        <v>65</v>
      </c>
      <c r="H1" s="11"/>
      <c r="I1" s="11"/>
      <c r="K1" s="11" t="s">
        <v>55</v>
      </c>
      <c r="L1" s="11"/>
      <c r="M1" s="11"/>
      <c r="O1" s="14" t="s">
        <v>36</v>
      </c>
    </row>
    <row r="2" spans="1:15" s="7" customFormat="1" ht="45" customHeight="1" x14ac:dyDescent="0.25">
      <c r="A2" s="4" t="s">
        <v>24</v>
      </c>
      <c r="B2" s="7" t="s">
        <v>0</v>
      </c>
      <c r="C2" s="8" t="s">
        <v>61</v>
      </c>
      <c r="D2" s="8" t="s">
        <v>62</v>
      </c>
      <c r="E2" s="8" t="s">
        <v>59</v>
      </c>
      <c r="F2" s="8"/>
      <c r="G2" s="8" t="s">
        <v>56</v>
      </c>
      <c r="H2" s="8" t="s">
        <v>57</v>
      </c>
      <c r="I2" s="8" t="s">
        <v>58</v>
      </c>
      <c r="J2"/>
      <c r="K2" s="7" t="s">
        <v>61</v>
      </c>
      <c r="L2" s="7" t="s">
        <v>62</v>
      </c>
      <c r="M2" s="8" t="s">
        <v>59</v>
      </c>
      <c r="N2"/>
      <c r="O2" s="14"/>
    </row>
    <row r="3" spans="1:15" x14ac:dyDescent="0.25">
      <c r="A3" s="1">
        <v>1</v>
      </c>
      <c r="B3" t="s">
        <v>42</v>
      </c>
      <c r="C3" t="s">
        <v>4</v>
      </c>
      <c r="D3" t="s">
        <v>4</v>
      </c>
      <c r="E3" t="s">
        <v>4</v>
      </c>
      <c r="G3" s="5" t="b">
        <v>0</v>
      </c>
      <c r="H3" s="5" t="b">
        <v>0</v>
      </c>
      <c r="I3" s="5" t="b">
        <v>0</v>
      </c>
      <c r="K3" t="s">
        <v>4</v>
      </c>
      <c r="L3" t="s">
        <v>4</v>
      </c>
      <c r="M3" t="s">
        <v>4</v>
      </c>
      <c r="O3" t="str">
        <f>IF(OR(K3="f", L3="f", M3="f"), "f", "p")</f>
        <v>p</v>
      </c>
    </row>
    <row r="4" spans="1:15" x14ac:dyDescent="0.25">
      <c r="A4" s="1">
        <v>2</v>
      </c>
      <c r="B4" t="s">
        <v>43</v>
      </c>
      <c r="C4" t="s">
        <v>6</v>
      </c>
      <c r="D4" t="s">
        <v>4</v>
      </c>
      <c r="E4" t="s">
        <v>6</v>
      </c>
      <c r="G4" s="5" t="b">
        <v>1</v>
      </c>
      <c r="H4" s="5" t="b">
        <v>1</v>
      </c>
      <c r="I4" s="5" t="b">
        <v>1</v>
      </c>
      <c r="K4" t="str">
        <f t="shared" ref="K4:K12" si="0">IF(G4=TRUE, "x", C4)</f>
        <v>x</v>
      </c>
      <c r="L4" t="str">
        <f t="shared" ref="L4:L12" si="1">IF(H4=TRUE, "x", D4)</f>
        <v>x</v>
      </c>
      <c r="M4" t="str">
        <f t="shared" ref="M4:M12" si="2">IF(I4=TRUE, "x", E4)</f>
        <v>x</v>
      </c>
      <c r="O4" t="str">
        <f t="shared" ref="O4:O12" si="3">IF(OR(K4="f", L4="f", M4="f"), "f", "p")</f>
        <v>p</v>
      </c>
    </row>
    <row r="5" spans="1:15" x14ac:dyDescent="0.25">
      <c r="A5" s="1">
        <v>3</v>
      </c>
      <c r="B5" t="s">
        <v>44</v>
      </c>
      <c r="C5" t="s">
        <v>4</v>
      </c>
      <c r="D5" t="s">
        <v>4</v>
      </c>
      <c r="E5" t="s">
        <v>4</v>
      </c>
      <c r="G5" s="5" t="b">
        <v>1</v>
      </c>
      <c r="H5" s="5" t="b">
        <v>0</v>
      </c>
      <c r="I5" s="5" t="b">
        <v>1</v>
      </c>
      <c r="K5" t="str">
        <f t="shared" si="0"/>
        <v>x</v>
      </c>
      <c r="L5" t="str">
        <f t="shared" si="1"/>
        <v>p</v>
      </c>
      <c r="M5" t="str">
        <f t="shared" si="2"/>
        <v>x</v>
      </c>
      <c r="O5" t="str">
        <f t="shared" si="3"/>
        <v>p</v>
      </c>
    </row>
    <row r="6" spans="1:15" x14ac:dyDescent="0.25">
      <c r="A6" s="1">
        <v>4</v>
      </c>
      <c r="B6" t="s">
        <v>45</v>
      </c>
      <c r="C6" t="s">
        <v>4</v>
      </c>
      <c r="D6" t="s">
        <v>6</v>
      </c>
      <c r="E6" t="s">
        <v>4</v>
      </c>
      <c r="G6" s="5" t="b">
        <v>0</v>
      </c>
      <c r="H6" s="5" t="b">
        <v>1</v>
      </c>
      <c r="I6" s="5" t="b">
        <v>0</v>
      </c>
      <c r="K6" t="str">
        <f t="shared" si="0"/>
        <v>p</v>
      </c>
      <c r="L6" t="str">
        <f t="shared" si="1"/>
        <v>x</v>
      </c>
      <c r="M6" t="str">
        <f t="shared" si="2"/>
        <v>p</v>
      </c>
      <c r="O6" t="str">
        <f t="shared" si="3"/>
        <v>p</v>
      </c>
    </row>
    <row r="7" spans="1:15" x14ac:dyDescent="0.25">
      <c r="A7" s="1">
        <v>5</v>
      </c>
      <c r="B7" t="s">
        <v>46</v>
      </c>
      <c r="C7" t="s">
        <v>6</v>
      </c>
      <c r="D7" t="s">
        <v>4</v>
      </c>
      <c r="E7" t="s">
        <v>6</v>
      </c>
      <c r="G7" s="5" t="b">
        <v>1</v>
      </c>
      <c r="H7" s="5" t="b">
        <v>0</v>
      </c>
      <c r="I7" s="5" t="b">
        <v>1</v>
      </c>
      <c r="K7" t="str">
        <f t="shared" si="0"/>
        <v>x</v>
      </c>
      <c r="L7" t="str">
        <f t="shared" si="1"/>
        <v>p</v>
      </c>
      <c r="M7" t="str">
        <f t="shared" si="2"/>
        <v>x</v>
      </c>
      <c r="O7" t="str">
        <f t="shared" si="3"/>
        <v>p</v>
      </c>
    </row>
    <row r="8" spans="1:15" x14ac:dyDescent="0.25">
      <c r="A8" s="1">
        <v>6</v>
      </c>
      <c r="B8" t="s">
        <v>47</v>
      </c>
      <c r="C8" t="s">
        <v>6</v>
      </c>
      <c r="D8" t="s">
        <v>4</v>
      </c>
      <c r="E8" t="s">
        <v>6</v>
      </c>
      <c r="G8" s="5" t="b">
        <v>1</v>
      </c>
      <c r="H8" s="5" t="b">
        <v>0</v>
      </c>
      <c r="I8" s="5" t="b">
        <v>1</v>
      </c>
      <c r="K8" t="str">
        <f t="shared" si="0"/>
        <v>x</v>
      </c>
      <c r="L8" t="str">
        <f t="shared" si="1"/>
        <v>p</v>
      </c>
      <c r="M8" t="str">
        <f t="shared" si="2"/>
        <v>x</v>
      </c>
      <c r="O8" t="str">
        <f t="shared" si="3"/>
        <v>p</v>
      </c>
    </row>
    <row r="9" spans="1:15" x14ac:dyDescent="0.25">
      <c r="A9" s="1">
        <v>7</v>
      </c>
      <c r="B9" t="s">
        <v>48</v>
      </c>
      <c r="C9" t="s">
        <v>4</v>
      </c>
      <c r="D9" t="s">
        <v>6</v>
      </c>
      <c r="E9" t="s">
        <v>4</v>
      </c>
      <c r="G9" s="5" t="b">
        <v>0</v>
      </c>
      <c r="H9" s="5" t="b">
        <v>1</v>
      </c>
      <c r="I9" s="5" t="b">
        <v>0</v>
      </c>
      <c r="K9" t="str">
        <f t="shared" si="0"/>
        <v>p</v>
      </c>
      <c r="L9" t="str">
        <f t="shared" si="1"/>
        <v>x</v>
      </c>
      <c r="M9" t="str">
        <f t="shared" si="2"/>
        <v>p</v>
      </c>
      <c r="O9" t="str">
        <f t="shared" si="3"/>
        <v>p</v>
      </c>
    </row>
    <row r="10" spans="1:15" x14ac:dyDescent="0.25">
      <c r="A10" s="1">
        <v>8</v>
      </c>
      <c r="B10" t="s">
        <v>49</v>
      </c>
      <c r="C10" t="s">
        <v>4</v>
      </c>
      <c r="D10" t="s">
        <v>4</v>
      </c>
      <c r="E10" t="s">
        <v>4</v>
      </c>
      <c r="G10" s="5" t="b">
        <v>0</v>
      </c>
      <c r="H10" s="5" t="b">
        <v>0</v>
      </c>
      <c r="I10" s="5" t="b">
        <v>0</v>
      </c>
      <c r="K10" t="str">
        <f t="shared" si="0"/>
        <v>p</v>
      </c>
      <c r="L10" t="str">
        <f t="shared" si="1"/>
        <v>p</v>
      </c>
      <c r="M10" t="str">
        <f t="shared" si="2"/>
        <v>p</v>
      </c>
      <c r="O10" t="str">
        <f t="shared" si="3"/>
        <v>p</v>
      </c>
    </row>
    <row r="11" spans="1:15" x14ac:dyDescent="0.25">
      <c r="A11" s="1">
        <v>9</v>
      </c>
      <c r="B11" t="s">
        <v>50</v>
      </c>
      <c r="C11" t="s">
        <v>4</v>
      </c>
      <c r="D11" t="s">
        <v>4</v>
      </c>
      <c r="E11" t="s">
        <v>4</v>
      </c>
      <c r="G11" s="5" t="b">
        <v>0</v>
      </c>
      <c r="H11" s="5" t="b">
        <v>0</v>
      </c>
      <c r="I11" s="5" t="b">
        <v>0</v>
      </c>
      <c r="K11" t="str">
        <f t="shared" si="0"/>
        <v>p</v>
      </c>
      <c r="L11" t="str">
        <f t="shared" si="1"/>
        <v>p</v>
      </c>
      <c r="M11" t="str">
        <f t="shared" si="2"/>
        <v>p</v>
      </c>
      <c r="O11" t="str">
        <f t="shared" si="3"/>
        <v>p</v>
      </c>
    </row>
    <row r="12" spans="1:15" x14ac:dyDescent="0.25">
      <c r="A12" s="1">
        <v>10</v>
      </c>
      <c r="B12" t="s">
        <v>51</v>
      </c>
      <c r="C12" t="s">
        <v>4</v>
      </c>
      <c r="D12" t="s">
        <v>4</v>
      </c>
      <c r="E12" t="s">
        <v>4</v>
      </c>
      <c r="G12" s="5" t="b">
        <v>0</v>
      </c>
      <c r="H12" s="5" t="b">
        <v>0</v>
      </c>
      <c r="I12" s="5" t="b">
        <v>0</v>
      </c>
      <c r="K12" t="str">
        <f t="shared" si="0"/>
        <v>p</v>
      </c>
      <c r="L12" t="str">
        <f t="shared" si="1"/>
        <v>p</v>
      </c>
      <c r="M12" t="str">
        <f t="shared" si="2"/>
        <v>p</v>
      </c>
      <c r="O12" t="str">
        <f t="shared" si="3"/>
        <v>p</v>
      </c>
    </row>
    <row r="13" spans="1:15" ht="9.9499999999999993" customHeight="1" x14ac:dyDescent="0.25">
      <c r="A13"/>
      <c r="I13"/>
    </row>
    <row r="14" spans="1:15" x14ac:dyDescent="0.25">
      <c r="I14"/>
      <c r="N14" s="1" t="s">
        <v>68</v>
      </c>
      <c r="O14" s="15">
        <f>COUNTIF(O3:O13,"p")+COUNTIF(O3:O13,"x")</f>
        <v>10</v>
      </c>
    </row>
    <row r="15" spans="1:15" x14ac:dyDescent="0.25">
      <c r="I15"/>
      <c r="N15" s="1" t="s">
        <v>69</v>
      </c>
      <c r="O15" s="15">
        <f>COUNTIF(O3:O13,"f")</f>
        <v>0</v>
      </c>
    </row>
    <row r="16" spans="1:15" x14ac:dyDescent="0.25">
      <c r="N16" s="1" t="s">
        <v>67</v>
      </c>
      <c r="O16" s="15" t="s">
        <v>52</v>
      </c>
    </row>
    <row r="17" spans="10:15" x14ac:dyDescent="0.25">
      <c r="N17" s="1" t="s">
        <v>66</v>
      </c>
      <c r="O17" s="15" t="s">
        <v>52</v>
      </c>
    </row>
    <row r="18" spans="10:15" x14ac:dyDescent="0.25">
      <c r="O18" s="1" t="s">
        <v>63</v>
      </c>
    </row>
    <row r="19" spans="10:15" ht="9.9499999999999993" customHeight="1" x14ac:dyDescent="0.25">
      <c r="N19" s="1"/>
      <c r="O19" s="2"/>
    </row>
    <row r="20" spans="10:15" x14ac:dyDescent="0.25">
      <c r="J20" s="1" t="s">
        <v>25</v>
      </c>
      <c r="K20" s="16">
        <f>COUNTIF(K3:K13,"f")</f>
        <v>0</v>
      </c>
      <c r="L20" s="3"/>
      <c r="M20" s="3"/>
      <c r="N20" s="4"/>
    </row>
    <row r="21" spans="10:15" x14ac:dyDescent="0.25">
      <c r="J21" s="1" t="s">
        <v>26</v>
      </c>
      <c r="K21" s="3"/>
      <c r="L21" s="16">
        <f>COUNTIF(L3:L13,"f")</f>
        <v>0</v>
      </c>
      <c r="M21" s="3"/>
    </row>
    <row r="22" spans="10:15" x14ac:dyDescent="0.25">
      <c r="J22" s="1" t="s">
        <v>27</v>
      </c>
      <c r="K22" s="16">
        <f>COUNTIF(K3:K13,"p")</f>
        <v>6</v>
      </c>
      <c r="L22" s="3"/>
      <c r="M22" s="3"/>
    </row>
    <row r="23" spans="10:15" x14ac:dyDescent="0.25">
      <c r="J23" s="1" t="s">
        <v>28</v>
      </c>
      <c r="K23" s="3"/>
      <c r="L23" s="16">
        <f>COUNTIF(L3:L13,"p")</f>
        <v>7</v>
      </c>
      <c r="M23" s="3"/>
    </row>
    <row r="24" spans="10:15" x14ac:dyDescent="0.25">
      <c r="M24" s="1" t="s">
        <v>41</v>
      </c>
    </row>
  </sheetData>
  <mergeCells count="4">
    <mergeCell ref="C1:E1"/>
    <mergeCell ref="G1:I1"/>
    <mergeCell ref="K1:M1"/>
    <mergeCell ref="O1:O2"/>
  </mergeCells>
  <conditionalFormatting sqref="C3:E12">
    <cfRule type="cellIs" dxfId="26" priority="17" operator="notEqual">
      <formula>"p"</formula>
    </cfRule>
    <cfRule type="cellIs" dxfId="25" priority="18" operator="equal">
      <formula>"p"</formula>
    </cfRule>
  </conditionalFormatting>
  <conditionalFormatting sqref="K3:M12">
    <cfRule type="cellIs" dxfId="19" priority="10" operator="equal">
      <formula>"x"</formula>
    </cfRule>
    <cfRule type="cellIs" dxfId="18" priority="11" operator="equal">
      <formula>"p"</formula>
    </cfRule>
    <cfRule type="cellIs" dxfId="17" priority="12" operator="notEqual">
      <formula>"p"</formula>
    </cfRule>
  </conditionalFormatting>
  <conditionalFormatting sqref="G3:I12">
    <cfRule type="cellIs" dxfId="16" priority="7" operator="equal">
      <formula>TRUE</formula>
    </cfRule>
    <cfRule type="cellIs" dxfId="15" priority="8" operator="equal">
      <formula>FALSE</formula>
    </cfRule>
  </conditionalFormatting>
  <conditionalFormatting sqref="O3:O12">
    <cfRule type="cellIs" dxfId="2" priority="1" operator="equal">
      <formula>"x"</formula>
    </cfRule>
    <cfRule type="cellIs" dxfId="1" priority="2" operator="equal">
      <formula>"p"</formula>
    </cfRule>
    <cfRule type="cellIs" dxfId="0" priority="3" operator="notEqual">
      <formula>"p"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regression test case</vt:lpstr>
      <vt:lpstr>wiki documentation</vt:lpstr>
      <vt:lpstr>All Mask set False</vt:lpstr>
      <vt:lpstr>All Mask set True</vt:lpstr>
      <vt:lpstr>someMaskSetTrueAndFalse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Teoh, Khai Jie</dc:creator>
  <cp:lastModifiedBy>Teoh, Khai Jie</cp:lastModifiedBy>
  <dcterms:created xsi:type="dcterms:W3CDTF">2025-03-19T06:46:27Z</dcterms:created>
  <dcterms:modified xsi:type="dcterms:W3CDTF">2025-03-20T15:29:04Z</dcterms:modified>
</cp:coreProperties>
</file>